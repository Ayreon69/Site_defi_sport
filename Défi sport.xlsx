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lay" sheetId="1" r:id="rId5"/>
    <sheet state="visible" name="Abdou" sheetId="2" r:id="rId6"/>
    <sheet state="visible" name="Fabien" sheetId="3" r:id="rId7"/>
    <sheet state="visible" name="Ali" sheetId="4" r:id="rId8"/>
    <sheet state="visible" name="Youcef" sheetId="5" r:id="rId9"/>
    <sheet state="visible" name="Aylan" sheetId="6" r:id="rId10"/>
  </sheets>
  <definedNames/>
  <calcPr/>
</workbook>
</file>

<file path=xl/sharedStrings.xml><?xml version="1.0" encoding="utf-8"?>
<sst xmlns="http://schemas.openxmlformats.org/spreadsheetml/2006/main" count="296" uniqueCount="28">
  <si>
    <t>RÉALISATION</t>
  </si>
  <si>
    <t>Mois</t>
  </si>
  <si>
    <t>Dips</t>
  </si>
  <si>
    <t>Pompes</t>
  </si>
  <si>
    <t>Traction Pronation</t>
  </si>
  <si>
    <t>Traction Supination</t>
  </si>
  <si>
    <t>Planche (min)</t>
  </si>
  <si>
    <t>Superman (min)</t>
  </si>
  <si>
    <t>100 m (sec)</t>
  </si>
  <si>
    <t>5 km (min)</t>
  </si>
  <si>
    <t>Poids (kg)</t>
  </si>
  <si>
    <t>Juin</t>
  </si>
  <si>
    <t>Août</t>
  </si>
  <si>
    <t>00:20:52.000</t>
  </si>
  <si>
    <t>Octobre</t>
  </si>
  <si>
    <t>Début Janvier</t>
  </si>
  <si>
    <t>PRÉVISIONNEL</t>
  </si>
  <si>
    <t>COEFFICIENTS</t>
  </si>
  <si>
    <t>a</t>
  </si>
  <si>
    <t>b</t>
  </si>
  <si>
    <t>Abscisse</t>
  </si>
  <si>
    <t>Gage</t>
  </si>
  <si>
    <t>Doit commencer à chercher une femme</t>
  </si>
  <si>
    <t>00:25:06.000</t>
  </si>
  <si>
    <t>Doit arrêter les boissons sucrées pendant 6 mois</t>
  </si>
  <si>
    <t>Doit arrêter l'alcool pendant 6 mois</t>
  </si>
  <si>
    <t>X</t>
  </si>
  <si>
    <t>Doit apprendre 5 hizb du Coran sur 1 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</si>
</sst>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H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46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3" numFmtId="46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3" numFmtId="165" xfId="0" applyFont="1" applyNumberFormat="1"/>
    <xf borderId="7" fillId="0" fontId="1" numFmtId="165" xfId="0" applyAlignment="1" applyBorder="1" applyFont="1" applyNumberFormat="1">
      <alignment horizontal="center" readingOrder="0"/>
    </xf>
    <xf borderId="7" fillId="0" fontId="3" numFmtId="165" xfId="0" applyAlignment="1" applyBorder="1" applyFont="1" applyNumberFormat="1">
      <alignment horizontal="center" readingOrder="0"/>
    </xf>
    <xf borderId="7" fillId="0" fontId="3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>
      <c r="B7" s="7" t="s">
        <v>11</v>
      </c>
      <c r="C7" s="8">
        <v>22.0</v>
      </c>
      <c r="D7" s="8">
        <v>28.0</v>
      </c>
      <c r="E7" s="8">
        <v>11.0</v>
      </c>
      <c r="F7" s="8">
        <v>11.0</v>
      </c>
      <c r="G7" s="9">
        <v>0.0015509259259259259</v>
      </c>
      <c r="H7" s="9">
        <v>7.87037037037037E-4</v>
      </c>
      <c r="I7" s="8">
        <v>13.6</v>
      </c>
      <c r="J7" s="9">
        <v>0.02045138888888889</v>
      </c>
      <c r="K7" s="8">
        <v>77.0</v>
      </c>
    </row>
    <row r="8">
      <c r="B8" s="7" t="s">
        <v>12</v>
      </c>
      <c r="C8" s="8">
        <v>25.0</v>
      </c>
      <c r="D8" s="8">
        <v>35.0</v>
      </c>
      <c r="E8" s="8">
        <v>14.0</v>
      </c>
      <c r="F8" s="8">
        <v>14.0</v>
      </c>
      <c r="G8" s="10">
        <v>0.0022800925925925927</v>
      </c>
      <c r="H8" s="10">
        <v>0.0010416666666666667</v>
      </c>
      <c r="I8" s="8">
        <v>13.3</v>
      </c>
      <c r="J8" s="8" t="s">
        <v>13</v>
      </c>
      <c r="K8" s="8">
        <v>80.0</v>
      </c>
    </row>
    <row r="9">
      <c r="B9" s="7" t="s">
        <v>14</v>
      </c>
      <c r="C9" s="8">
        <v>25.0</v>
      </c>
      <c r="D9" s="8">
        <v>36.0</v>
      </c>
      <c r="E9" s="8">
        <v>15.0</v>
      </c>
      <c r="F9" s="8">
        <v>15.0</v>
      </c>
      <c r="G9" s="10">
        <v>0.0021064814814814813</v>
      </c>
      <c r="H9" s="10">
        <v>0.0010416666666666667</v>
      </c>
      <c r="I9" s="8">
        <v>12.85</v>
      </c>
      <c r="J9" s="11"/>
      <c r="K9" s="8">
        <v>83.0</v>
      </c>
    </row>
    <row r="10">
      <c r="B10" s="7" t="s">
        <v>15</v>
      </c>
      <c r="C10" s="8">
        <v>24.0</v>
      </c>
      <c r="D10" s="8">
        <v>34.0</v>
      </c>
      <c r="E10" s="8">
        <v>15.0</v>
      </c>
      <c r="F10" s="8">
        <v>15.0</v>
      </c>
      <c r="G10" s="10">
        <v>0.0023032407407407407</v>
      </c>
      <c r="H10" s="10">
        <v>0.0013310185185185185</v>
      </c>
      <c r="I10" s="11"/>
      <c r="J10" s="1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</row>
    <row r="17">
      <c r="B17" s="7" t="s">
        <v>11</v>
      </c>
      <c r="C17" s="8">
        <f t="shared" ref="C17:J17" si="1">C7</f>
        <v>22</v>
      </c>
      <c r="D17" s="8">
        <f t="shared" si="1"/>
        <v>28</v>
      </c>
      <c r="E17" s="8">
        <f t="shared" si="1"/>
        <v>11</v>
      </c>
      <c r="F17" s="8">
        <f t="shared" si="1"/>
        <v>11</v>
      </c>
      <c r="G17" s="9">
        <f t="shared" si="1"/>
        <v>0.001550925926</v>
      </c>
      <c r="H17" s="9">
        <f t="shared" si="1"/>
        <v>0.000787037037</v>
      </c>
      <c r="I17" s="8">
        <f t="shared" si="1"/>
        <v>13.6</v>
      </c>
      <c r="J17" s="9">
        <f t="shared" si="1"/>
        <v>0.02045138889</v>
      </c>
      <c r="K17" s="11"/>
    </row>
    <row r="18">
      <c r="B18" s="7" t="s">
        <v>12</v>
      </c>
      <c r="C18" s="8">
        <f t="shared" ref="C18:F18" si="2">ROUND(C27*$C$34+C28,0)</f>
        <v>25</v>
      </c>
      <c r="D18" s="8">
        <f t="shared" si="2"/>
        <v>32</v>
      </c>
      <c r="E18" s="8">
        <f t="shared" si="2"/>
        <v>12</v>
      </c>
      <c r="F18" s="8">
        <f t="shared" si="2"/>
        <v>12</v>
      </c>
      <c r="G18" s="9">
        <f t="shared" ref="G18:H18" si="3">G27*$C$34+G28</f>
        <v>0.001959876543</v>
      </c>
      <c r="H18" s="9">
        <f t="shared" si="3"/>
        <v>0.0009104938272</v>
      </c>
      <c r="I18" s="8">
        <f>ROUND(I27*$C$34+I28, 2)</f>
        <v>13.4</v>
      </c>
      <c r="J18" s="9">
        <f>J27*$C$34+J28</f>
        <v>0.01884259259</v>
      </c>
      <c r="K18" s="8"/>
    </row>
    <row r="19">
      <c r="B19" s="7" t="s">
        <v>14</v>
      </c>
      <c r="C19" s="8">
        <f t="shared" ref="C19:F19" si="4">ROUND(C27*$C$35+C28,0)</f>
        <v>27</v>
      </c>
      <c r="D19" s="8">
        <f t="shared" si="4"/>
        <v>36</v>
      </c>
      <c r="E19" s="8">
        <f t="shared" si="4"/>
        <v>14</v>
      </c>
      <c r="F19" s="8">
        <f t="shared" si="4"/>
        <v>14</v>
      </c>
      <c r="G19" s="9">
        <f t="shared" ref="G19:H19" si="5">G27*4+G28</f>
        <v>0.00236882716</v>
      </c>
      <c r="H19" s="9">
        <f t="shared" si="5"/>
        <v>0.001033950617</v>
      </c>
      <c r="I19" s="8">
        <f>ROUND(I27*$C$35+I28, 2)</f>
        <v>13.2</v>
      </c>
      <c r="J19" s="9">
        <f>J27*4+J28</f>
        <v>0.0172337963</v>
      </c>
      <c r="K19" s="8"/>
    </row>
    <row r="20">
      <c r="B20" s="7" t="s">
        <v>15</v>
      </c>
      <c r="C20" s="8">
        <v>30.0</v>
      </c>
      <c r="D20" s="8">
        <v>40.0</v>
      </c>
      <c r="E20" s="8">
        <v>15.0</v>
      </c>
      <c r="F20" s="8">
        <v>15.0</v>
      </c>
      <c r="G20" s="9">
        <v>0.002777777777777778</v>
      </c>
      <c r="H20" s="9">
        <v>0.0011574074074074073</v>
      </c>
      <c r="I20" s="8">
        <v>13.0</v>
      </c>
      <c r="J20" s="9">
        <v>0.015625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1.333333333</v>
      </c>
      <c r="D27" s="8">
        <f t="shared" si="6"/>
        <v>2</v>
      </c>
      <c r="E27" s="8">
        <f t="shared" si="6"/>
        <v>0.6666666667</v>
      </c>
      <c r="F27" s="8">
        <f t="shared" si="6"/>
        <v>0.6666666667</v>
      </c>
      <c r="G27" s="9">
        <f t="shared" si="6"/>
        <v>0.0002044753086</v>
      </c>
      <c r="H27" s="9">
        <f t="shared" si="6"/>
        <v>0.00006172839506</v>
      </c>
      <c r="I27" s="8">
        <f t="shared" si="6"/>
        <v>-0.1</v>
      </c>
      <c r="J27" s="9">
        <f t="shared" si="6"/>
        <v>-0.0008043981481</v>
      </c>
      <c r="K27" s="8">
        <f t="shared" si="6"/>
        <v>0</v>
      </c>
    </row>
    <row r="28">
      <c r="B28" s="7" t="s">
        <v>19</v>
      </c>
      <c r="C28" s="11">
        <f t="shared" ref="C28:K28" si="7">C17</f>
        <v>22</v>
      </c>
      <c r="D28" s="11">
        <f t="shared" si="7"/>
        <v>28</v>
      </c>
      <c r="E28" s="11">
        <f t="shared" si="7"/>
        <v>11</v>
      </c>
      <c r="F28" s="11">
        <f t="shared" si="7"/>
        <v>11</v>
      </c>
      <c r="G28" s="14">
        <f t="shared" si="7"/>
        <v>0.001550925926</v>
      </c>
      <c r="H28" s="14">
        <f t="shared" si="7"/>
        <v>0.000787037037</v>
      </c>
      <c r="I28" s="11">
        <f t="shared" si="7"/>
        <v>13.6</v>
      </c>
      <c r="J28" s="14">
        <f t="shared" si="7"/>
        <v>0.02045138889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B32" s="12"/>
      <c r="C32" s="7" t="s">
        <v>20</v>
      </c>
      <c r="D32" s="12"/>
      <c r="E32" s="15" t="s">
        <v>21</v>
      </c>
      <c r="F32" s="16" t="s">
        <v>22</v>
      </c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1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1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12"/>
      <c r="K36" s="12"/>
    </row>
  </sheetData>
  <mergeCells count="5">
    <mergeCell ref="B4:K5"/>
    <mergeCell ref="B14:K15"/>
    <mergeCell ref="B24:K25"/>
    <mergeCell ref="E32:E33"/>
    <mergeCell ref="F32:K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1">
      <c r="J1" s="18"/>
    </row>
    <row r="2">
      <c r="J2" s="18"/>
    </row>
    <row r="3">
      <c r="J3" s="18"/>
    </row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19" t="s">
        <v>9</v>
      </c>
      <c r="K6" s="7" t="s">
        <v>10</v>
      </c>
    </row>
    <row r="7">
      <c r="B7" s="7" t="s">
        <v>11</v>
      </c>
      <c r="C7" s="8">
        <v>7.0</v>
      </c>
      <c r="D7" s="8">
        <v>15.0</v>
      </c>
      <c r="E7" s="8">
        <v>0.0</v>
      </c>
      <c r="F7" s="8">
        <v>2.0</v>
      </c>
      <c r="G7" s="9">
        <v>0.0016203703703703703</v>
      </c>
      <c r="H7" s="9">
        <v>9.027777777777777E-4</v>
      </c>
      <c r="I7" s="8">
        <v>15.8</v>
      </c>
      <c r="J7" s="20">
        <v>0.03125</v>
      </c>
      <c r="K7" s="11"/>
    </row>
    <row r="8">
      <c r="B8" s="7" t="s">
        <v>12</v>
      </c>
      <c r="C8" s="8">
        <v>11.0</v>
      </c>
      <c r="D8" s="8">
        <v>40.0</v>
      </c>
      <c r="E8" s="8">
        <v>5.0</v>
      </c>
      <c r="F8" s="8">
        <v>5.0</v>
      </c>
      <c r="G8" s="10">
        <v>0.0020833333333333333</v>
      </c>
      <c r="H8" s="10">
        <v>0.001261574074074074</v>
      </c>
      <c r="I8" s="8">
        <v>14.57</v>
      </c>
      <c r="J8" s="20" t="s">
        <v>23</v>
      </c>
      <c r="K8" s="8">
        <v>76.0</v>
      </c>
    </row>
    <row r="9">
      <c r="B9" s="7" t="s">
        <v>14</v>
      </c>
      <c r="C9" s="11"/>
      <c r="D9" s="11"/>
      <c r="E9" s="11"/>
      <c r="F9" s="11"/>
      <c r="G9" s="11"/>
      <c r="H9" s="11"/>
      <c r="I9" s="11"/>
      <c r="J9" s="21"/>
      <c r="K9" s="11"/>
    </row>
    <row r="10">
      <c r="B10" s="7" t="s">
        <v>15</v>
      </c>
      <c r="C10" s="8">
        <v>9.0</v>
      </c>
      <c r="D10" s="8">
        <v>25.0</v>
      </c>
      <c r="E10" s="8">
        <v>2.0</v>
      </c>
      <c r="F10" s="8">
        <v>3.0</v>
      </c>
      <c r="G10" s="10">
        <v>0.0017592592592592592</v>
      </c>
      <c r="H10" s="10">
        <v>0.0014467592592592592</v>
      </c>
      <c r="I10" s="11"/>
      <c r="J10" s="2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2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2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2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19" t="s">
        <v>9</v>
      </c>
      <c r="K16" s="7" t="s">
        <v>10</v>
      </c>
    </row>
    <row r="17">
      <c r="B17" s="7" t="s">
        <v>11</v>
      </c>
      <c r="C17" s="8">
        <f t="shared" ref="C17:K17" si="1">C7</f>
        <v>7</v>
      </c>
      <c r="D17" s="8">
        <f t="shared" si="1"/>
        <v>15</v>
      </c>
      <c r="E17" s="8">
        <f t="shared" si="1"/>
        <v>0</v>
      </c>
      <c r="F17" s="8">
        <f t="shared" si="1"/>
        <v>2</v>
      </c>
      <c r="G17" s="9">
        <f t="shared" si="1"/>
        <v>0.00162037037</v>
      </c>
      <c r="H17" s="9">
        <f t="shared" si="1"/>
        <v>0.0009027777778</v>
      </c>
      <c r="I17" s="8">
        <f t="shared" si="1"/>
        <v>15.8</v>
      </c>
      <c r="J17" s="20">
        <f t="shared" si="1"/>
        <v>0.03125</v>
      </c>
      <c r="K17" s="11" t="str">
        <f t="shared" si="1"/>
        <v/>
      </c>
    </row>
    <row r="18">
      <c r="B18" s="7" t="s">
        <v>12</v>
      </c>
      <c r="C18" s="8">
        <f t="shared" ref="C18:F18" si="2">ROUND(C27*$C$34+C28,0)</f>
        <v>11</v>
      </c>
      <c r="D18" s="8">
        <f t="shared" si="2"/>
        <v>18</v>
      </c>
      <c r="E18" s="8">
        <f t="shared" si="2"/>
        <v>2</v>
      </c>
      <c r="F18" s="8">
        <f t="shared" si="2"/>
        <v>4</v>
      </c>
      <c r="G18" s="9">
        <f t="shared" ref="G18:H18" si="3">G27*$C$34+G28</f>
        <v>0.001890432099</v>
      </c>
      <c r="H18" s="9">
        <f t="shared" si="3"/>
        <v>0.001006944444</v>
      </c>
      <c r="I18" s="8">
        <f>ROUND(I27*$C$34+I28, 2)</f>
        <v>15.37</v>
      </c>
      <c r="J18" s="20">
        <f>J27*$C$34+J28</f>
        <v>0.02847222222</v>
      </c>
      <c r="K18" s="8"/>
    </row>
    <row r="19">
      <c r="B19" s="7" t="s">
        <v>14</v>
      </c>
      <c r="C19" s="8">
        <f t="shared" ref="C19:F19" si="4">ROUND(C27*$C$35+C28,0)</f>
        <v>16</v>
      </c>
      <c r="D19" s="8">
        <f t="shared" si="4"/>
        <v>22</v>
      </c>
      <c r="E19" s="8">
        <f t="shared" si="4"/>
        <v>4</v>
      </c>
      <c r="F19" s="8">
        <f t="shared" si="4"/>
        <v>7</v>
      </c>
      <c r="G19" s="9">
        <f t="shared" ref="G19:H19" si="5">G27*4+G28</f>
        <v>0.002160493827</v>
      </c>
      <c r="H19" s="9">
        <f t="shared" si="5"/>
        <v>0.001111111111</v>
      </c>
      <c r="I19" s="8">
        <f>ROUND(I27*$C$35+I28, 2)</f>
        <v>14.93</v>
      </c>
      <c r="J19" s="20">
        <f>J27*4+J28</f>
        <v>0.02569444444</v>
      </c>
      <c r="K19" s="8"/>
    </row>
    <row r="20">
      <c r="B20" s="7" t="s">
        <v>15</v>
      </c>
      <c r="C20" s="8">
        <v>20.0</v>
      </c>
      <c r="D20" s="8">
        <v>25.0</v>
      </c>
      <c r="E20" s="8">
        <v>6.0</v>
      </c>
      <c r="F20" s="8">
        <v>9.0</v>
      </c>
      <c r="G20" s="9">
        <v>0.0024305555555555556</v>
      </c>
      <c r="H20" s="9">
        <v>0.0012152777777777778</v>
      </c>
      <c r="I20" s="8">
        <v>14.5</v>
      </c>
      <c r="J20" s="20">
        <v>0.022916666666666665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2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2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2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19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2.166666667</v>
      </c>
      <c r="D27" s="8">
        <f t="shared" si="6"/>
        <v>1.666666667</v>
      </c>
      <c r="E27" s="8">
        <f t="shared" si="6"/>
        <v>1</v>
      </c>
      <c r="F27" s="8">
        <f t="shared" si="6"/>
        <v>1.166666667</v>
      </c>
      <c r="G27" s="9">
        <f t="shared" si="6"/>
        <v>0.0001350308642</v>
      </c>
      <c r="H27" s="9">
        <f t="shared" si="6"/>
        <v>0.00005208333333</v>
      </c>
      <c r="I27" s="8">
        <f t="shared" si="6"/>
        <v>-0.2166666667</v>
      </c>
      <c r="J27" s="20">
        <f t="shared" si="6"/>
        <v>-0.001388888889</v>
      </c>
      <c r="K27" s="8">
        <f t="shared" si="6"/>
        <v>0</v>
      </c>
    </row>
    <row r="28">
      <c r="B28" s="7" t="s">
        <v>19</v>
      </c>
      <c r="C28" s="11">
        <f t="shared" ref="C28:K28" si="7">C17</f>
        <v>7</v>
      </c>
      <c r="D28" s="11">
        <f t="shared" si="7"/>
        <v>15</v>
      </c>
      <c r="E28" s="11">
        <f t="shared" si="7"/>
        <v>0</v>
      </c>
      <c r="F28" s="11">
        <f t="shared" si="7"/>
        <v>2</v>
      </c>
      <c r="G28" s="14">
        <f t="shared" si="7"/>
        <v>0.00162037037</v>
      </c>
      <c r="H28" s="14">
        <f t="shared" si="7"/>
        <v>0.0009027777778</v>
      </c>
      <c r="I28" s="11">
        <f t="shared" si="7"/>
        <v>15.8</v>
      </c>
      <c r="J28" s="21">
        <f t="shared" si="7"/>
        <v>0.03125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2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2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22"/>
      <c r="K31" s="12"/>
    </row>
    <row r="32">
      <c r="B32" s="12"/>
      <c r="C32" s="7" t="s">
        <v>20</v>
      </c>
      <c r="D32" s="12"/>
      <c r="E32" s="15" t="s">
        <v>21</v>
      </c>
      <c r="F32" s="16" t="s">
        <v>24</v>
      </c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2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2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22"/>
      <c r="K36" s="12"/>
    </row>
    <row r="37">
      <c r="J37" s="18"/>
    </row>
    <row r="38">
      <c r="J38" s="18"/>
    </row>
    <row r="39">
      <c r="J39" s="18"/>
    </row>
    <row r="40">
      <c r="J40" s="18"/>
    </row>
    <row r="41">
      <c r="J41" s="18"/>
    </row>
    <row r="42">
      <c r="J42" s="18"/>
    </row>
    <row r="43">
      <c r="J43" s="18"/>
    </row>
    <row r="44">
      <c r="J44" s="18"/>
    </row>
    <row r="45">
      <c r="J45" s="18"/>
    </row>
    <row r="46">
      <c r="J46" s="18"/>
    </row>
    <row r="47">
      <c r="J47" s="18"/>
    </row>
    <row r="48">
      <c r="J48" s="18"/>
    </row>
    <row r="49">
      <c r="J49" s="18"/>
    </row>
    <row r="50">
      <c r="J50" s="18"/>
    </row>
    <row r="51">
      <c r="J51" s="18"/>
    </row>
    <row r="52">
      <c r="J52" s="18"/>
    </row>
    <row r="53">
      <c r="J53" s="18"/>
    </row>
    <row r="54">
      <c r="J54" s="18"/>
    </row>
    <row r="55">
      <c r="J55" s="18"/>
    </row>
    <row r="56">
      <c r="J56" s="18"/>
    </row>
    <row r="57">
      <c r="J57" s="18"/>
    </row>
    <row r="58">
      <c r="J58" s="18"/>
    </row>
    <row r="59">
      <c r="J59" s="18"/>
    </row>
    <row r="60">
      <c r="J60" s="18"/>
    </row>
    <row r="61">
      <c r="J61" s="18"/>
    </row>
    <row r="62">
      <c r="J62" s="18"/>
    </row>
    <row r="63">
      <c r="J63" s="18"/>
    </row>
    <row r="64">
      <c r="J64" s="18"/>
    </row>
    <row r="65">
      <c r="J65" s="18"/>
    </row>
    <row r="66">
      <c r="J66" s="18"/>
    </row>
    <row r="67">
      <c r="J67" s="18"/>
    </row>
    <row r="68">
      <c r="J68" s="18"/>
    </row>
    <row r="69">
      <c r="J69" s="18"/>
    </row>
    <row r="70">
      <c r="J70" s="18"/>
    </row>
    <row r="71">
      <c r="J71" s="18"/>
    </row>
    <row r="72">
      <c r="J72" s="18"/>
    </row>
    <row r="73">
      <c r="J73" s="18"/>
    </row>
    <row r="74">
      <c r="J74" s="18"/>
    </row>
    <row r="75">
      <c r="J75" s="18"/>
    </row>
    <row r="76">
      <c r="J76" s="18"/>
    </row>
    <row r="77">
      <c r="J77" s="18"/>
    </row>
    <row r="78">
      <c r="J78" s="18"/>
    </row>
    <row r="79">
      <c r="J79" s="18"/>
    </row>
    <row r="80">
      <c r="J80" s="18"/>
    </row>
    <row r="81">
      <c r="J81" s="18"/>
    </row>
    <row r="82">
      <c r="J82" s="18"/>
    </row>
    <row r="83">
      <c r="J83" s="18"/>
    </row>
    <row r="84">
      <c r="J84" s="18"/>
    </row>
    <row r="85">
      <c r="J85" s="18"/>
    </row>
    <row r="86">
      <c r="J86" s="18"/>
    </row>
    <row r="87">
      <c r="J87" s="18"/>
    </row>
    <row r="88">
      <c r="J88" s="18"/>
    </row>
    <row r="89">
      <c r="J89" s="18"/>
    </row>
    <row r="90">
      <c r="J90" s="18"/>
    </row>
    <row r="91">
      <c r="J91" s="18"/>
    </row>
    <row r="92">
      <c r="J92" s="18"/>
    </row>
    <row r="93">
      <c r="J93" s="18"/>
    </row>
    <row r="94">
      <c r="J94" s="18"/>
    </row>
    <row r="95">
      <c r="J95" s="18"/>
    </row>
    <row r="96">
      <c r="J96" s="18"/>
    </row>
    <row r="97">
      <c r="J97" s="18"/>
    </row>
    <row r="98">
      <c r="J98" s="18"/>
    </row>
    <row r="99">
      <c r="J99" s="18"/>
    </row>
    <row r="100">
      <c r="J100" s="18"/>
    </row>
    <row r="101">
      <c r="J101" s="18"/>
    </row>
    <row r="102">
      <c r="J102" s="18"/>
    </row>
    <row r="103">
      <c r="J103" s="18"/>
    </row>
    <row r="104">
      <c r="J104" s="18"/>
    </row>
    <row r="105">
      <c r="J105" s="18"/>
    </row>
    <row r="106">
      <c r="J106" s="18"/>
    </row>
    <row r="107">
      <c r="J107" s="18"/>
    </row>
    <row r="108">
      <c r="J108" s="18"/>
    </row>
    <row r="109">
      <c r="J109" s="18"/>
    </row>
    <row r="110">
      <c r="J110" s="18"/>
    </row>
    <row r="111">
      <c r="J111" s="18"/>
    </row>
    <row r="112">
      <c r="J112" s="18"/>
    </row>
    <row r="113">
      <c r="J113" s="18"/>
    </row>
    <row r="114">
      <c r="J114" s="18"/>
    </row>
    <row r="115">
      <c r="J115" s="18"/>
    </row>
    <row r="116">
      <c r="J116" s="18"/>
    </row>
    <row r="117">
      <c r="J117" s="18"/>
    </row>
    <row r="118">
      <c r="J118" s="18"/>
    </row>
    <row r="119">
      <c r="J119" s="18"/>
    </row>
    <row r="120">
      <c r="J120" s="18"/>
    </row>
    <row r="121">
      <c r="J121" s="18"/>
    </row>
    <row r="122">
      <c r="J122" s="18"/>
    </row>
    <row r="123">
      <c r="J123" s="18"/>
    </row>
    <row r="124">
      <c r="J124" s="18"/>
    </row>
    <row r="125">
      <c r="J125" s="18"/>
    </row>
    <row r="126">
      <c r="J126" s="18"/>
    </row>
    <row r="127">
      <c r="J127" s="18"/>
    </row>
    <row r="128">
      <c r="J128" s="18"/>
    </row>
    <row r="129">
      <c r="J129" s="18"/>
    </row>
    <row r="130">
      <c r="J130" s="18"/>
    </row>
    <row r="131">
      <c r="J131" s="18"/>
    </row>
    <row r="132">
      <c r="J132" s="18"/>
    </row>
    <row r="133">
      <c r="J133" s="18"/>
    </row>
    <row r="134">
      <c r="J134" s="18"/>
    </row>
    <row r="135">
      <c r="J135" s="18"/>
    </row>
    <row r="136">
      <c r="J136" s="18"/>
    </row>
    <row r="137">
      <c r="J137" s="18"/>
    </row>
    <row r="138">
      <c r="J138" s="18"/>
    </row>
    <row r="139">
      <c r="J139" s="18"/>
    </row>
    <row r="140">
      <c r="J140" s="18"/>
    </row>
    <row r="141">
      <c r="J141" s="18"/>
    </row>
    <row r="142">
      <c r="J142" s="18"/>
    </row>
    <row r="143">
      <c r="J143" s="18"/>
    </row>
    <row r="144">
      <c r="J144" s="18"/>
    </row>
    <row r="145">
      <c r="J145" s="18"/>
    </row>
    <row r="146">
      <c r="J146" s="18"/>
    </row>
    <row r="147">
      <c r="J147" s="18"/>
    </row>
    <row r="148">
      <c r="J148" s="18"/>
    </row>
    <row r="149">
      <c r="J149" s="18"/>
    </row>
    <row r="150">
      <c r="J150" s="18"/>
    </row>
    <row r="151">
      <c r="J151" s="18"/>
    </row>
    <row r="152">
      <c r="J152" s="18"/>
    </row>
    <row r="153">
      <c r="J153" s="18"/>
    </row>
    <row r="154">
      <c r="J154" s="18"/>
    </row>
    <row r="155">
      <c r="J155" s="18"/>
    </row>
    <row r="156">
      <c r="J156" s="18"/>
    </row>
    <row r="157">
      <c r="J157" s="18"/>
    </row>
    <row r="158">
      <c r="J158" s="18"/>
    </row>
    <row r="159">
      <c r="J159" s="18"/>
    </row>
    <row r="160">
      <c r="J160" s="18"/>
    </row>
    <row r="161">
      <c r="J161" s="18"/>
    </row>
    <row r="162">
      <c r="J162" s="18"/>
    </row>
    <row r="163">
      <c r="J163" s="18"/>
    </row>
    <row r="164">
      <c r="J164" s="18"/>
    </row>
    <row r="165">
      <c r="J165" s="18"/>
    </row>
    <row r="166">
      <c r="J166" s="18"/>
    </row>
    <row r="167">
      <c r="J167" s="18"/>
    </row>
    <row r="168">
      <c r="J168" s="18"/>
    </row>
    <row r="169">
      <c r="J169" s="18"/>
    </row>
    <row r="170">
      <c r="J170" s="18"/>
    </row>
    <row r="171">
      <c r="J171" s="18"/>
    </row>
    <row r="172">
      <c r="J172" s="18"/>
    </row>
    <row r="173">
      <c r="J173" s="18"/>
    </row>
    <row r="174">
      <c r="J174" s="18"/>
    </row>
    <row r="175">
      <c r="J175" s="18"/>
    </row>
    <row r="176">
      <c r="J176" s="18"/>
    </row>
    <row r="177">
      <c r="J177" s="18"/>
    </row>
    <row r="178">
      <c r="J178" s="18"/>
    </row>
    <row r="179">
      <c r="J179" s="18"/>
    </row>
    <row r="180">
      <c r="J180" s="18"/>
    </row>
    <row r="181">
      <c r="J181" s="18"/>
    </row>
    <row r="182">
      <c r="J182" s="18"/>
    </row>
    <row r="183">
      <c r="J183" s="18"/>
    </row>
    <row r="184">
      <c r="J184" s="18"/>
    </row>
    <row r="185">
      <c r="J185" s="18"/>
    </row>
    <row r="186">
      <c r="J186" s="18"/>
    </row>
    <row r="187">
      <c r="J187" s="18"/>
    </row>
    <row r="188">
      <c r="J188" s="18"/>
    </row>
    <row r="189">
      <c r="J189" s="18"/>
    </row>
    <row r="190">
      <c r="J190" s="18"/>
    </row>
    <row r="191">
      <c r="J191" s="18"/>
    </row>
    <row r="192">
      <c r="J192" s="18"/>
    </row>
    <row r="193">
      <c r="J193" s="18"/>
    </row>
    <row r="194">
      <c r="J194" s="18"/>
    </row>
    <row r="195">
      <c r="J195" s="18"/>
    </row>
    <row r="196">
      <c r="J196" s="18"/>
    </row>
    <row r="197">
      <c r="J197" s="18"/>
    </row>
    <row r="198">
      <c r="J198" s="18"/>
    </row>
    <row r="199">
      <c r="J199" s="18"/>
    </row>
    <row r="200">
      <c r="J200" s="18"/>
    </row>
    <row r="201">
      <c r="J201" s="18"/>
    </row>
    <row r="202">
      <c r="J202" s="18"/>
    </row>
    <row r="203">
      <c r="J203" s="18"/>
    </row>
    <row r="204">
      <c r="J204" s="18"/>
    </row>
    <row r="205">
      <c r="J205" s="18"/>
    </row>
    <row r="206">
      <c r="J206" s="18"/>
    </row>
    <row r="207">
      <c r="J207" s="18"/>
    </row>
    <row r="208">
      <c r="J208" s="18"/>
    </row>
    <row r="209">
      <c r="J209" s="18"/>
    </row>
    <row r="210">
      <c r="J210" s="18"/>
    </row>
    <row r="211">
      <c r="J211" s="18"/>
    </row>
    <row r="212">
      <c r="J212" s="18"/>
    </row>
    <row r="213">
      <c r="J213" s="18"/>
    </row>
    <row r="214">
      <c r="J214" s="18"/>
    </row>
    <row r="215">
      <c r="J215" s="18"/>
    </row>
    <row r="216">
      <c r="J216" s="18"/>
    </row>
    <row r="217">
      <c r="J217" s="18"/>
    </row>
    <row r="218">
      <c r="J218" s="18"/>
    </row>
    <row r="219">
      <c r="J219" s="18"/>
    </row>
    <row r="220">
      <c r="J220" s="18"/>
    </row>
    <row r="221">
      <c r="J221" s="18"/>
    </row>
    <row r="222">
      <c r="J222" s="18"/>
    </row>
    <row r="223">
      <c r="J223" s="18"/>
    </row>
    <row r="224">
      <c r="J224" s="18"/>
    </row>
    <row r="225">
      <c r="J225" s="18"/>
    </row>
    <row r="226">
      <c r="J226" s="18"/>
    </row>
    <row r="227">
      <c r="J227" s="18"/>
    </row>
    <row r="228">
      <c r="J228" s="18"/>
    </row>
    <row r="229">
      <c r="J229" s="18"/>
    </row>
    <row r="230">
      <c r="J230" s="18"/>
    </row>
    <row r="231">
      <c r="J231" s="18"/>
    </row>
    <row r="232">
      <c r="J232" s="18"/>
    </row>
    <row r="233">
      <c r="J233" s="18"/>
    </row>
    <row r="234">
      <c r="J234" s="18"/>
    </row>
    <row r="235">
      <c r="J235" s="18"/>
    </row>
    <row r="236">
      <c r="J236" s="18"/>
    </row>
    <row r="237">
      <c r="J237" s="18"/>
    </row>
    <row r="238">
      <c r="J238" s="18"/>
    </row>
    <row r="239">
      <c r="J239" s="18"/>
    </row>
    <row r="240">
      <c r="J240" s="18"/>
    </row>
    <row r="241">
      <c r="J241" s="18"/>
    </row>
    <row r="242">
      <c r="J242" s="18"/>
    </row>
    <row r="243">
      <c r="J243" s="18"/>
    </row>
    <row r="244">
      <c r="J244" s="18"/>
    </row>
    <row r="245">
      <c r="J245" s="18"/>
    </row>
    <row r="246">
      <c r="J246" s="18"/>
    </row>
    <row r="247">
      <c r="J247" s="18"/>
    </row>
    <row r="248">
      <c r="J248" s="18"/>
    </row>
    <row r="249">
      <c r="J249" s="18"/>
    </row>
    <row r="250">
      <c r="J250" s="18"/>
    </row>
    <row r="251">
      <c r="J251" s="18"/>
    </row>
    <row r="252">
      <c r="J252" s="18"/>
    </row>
    <row r="253">
      <c r="J253" s="18"/>
    </row>
    <row r="254">
      <c r="J254" s="18"/>
    </row>
    <row r="255">
      <c r="J255" s="18"/>
    </row>
    <row r="256">
      <c r="J256" s="18"/>
    </row>
    <row r="257">
      <c r="J257" s="18"/>
    </row>
    <row r="258">
      <c r="J258" s="18"/>
    </row>
    <row r="259">
      <c r="J259" s="18"/>
    </row>
    <row r="260">
      <c r="J260" s="18"/>
    </row>
    <row r="261">
      <c r="J261" s="18"/>
    </row>
    <row r="262">
      <c r="J262" s="18"/>
    </row>
    <row r="263">
      <c r="J263" s="18"/>
    </row>
    <row r="264">
      <c r="J264" s="18"/>
    </row>
    <row r="265">
      <c r="J265" s="18"/>
    </row>
    <row r="266">
      <c r="J266" s="18"/>
    </row>
    <row r="267">
      <c r="J267" s="18"/>
    </row>
    <row r="268">
      <c r="J268" s="18"/>
    </row>
    <row r="269">
      <c r="J269" s="18"/>
    </row>
    <row r="270">
      <c r="J270" s="18"/>
    </row>
    <row r="271">
      <c r="J271" s="18"/>
    </row>
    <row r="272">
      <c r="J272" s="18"/>
    </row>
    <row r="273">
      <c r="J273" s="18"/>
    </row>
    <row r="274">
      <c r="J274" s="18"/>
    </row>
    <row r="275">
      <c r="J275" s="18"/>
    </row>
    <row r="276">
      <c r="J276" s="18"/>
    </row>
    <row r="277">
      <c r="J277" s="18"/>
    </row>
    <row r="278">
      <c r="J278" s="18"/>
    </row>
    <row r="279">
      <c r="J279" s="18"/>
    </row>
    <row r="280">
      <c r="J280" s="18"/>
    </row>
    <row r="281">
      <c r="J281" s="18"/>
    </row>
    <row r="282">
      <c r="J282" s="18"/>
    </row>
    <row r="283">
      <c r="J283" s="18"/>
    </row>
    <row r="284">
      <c r="J284" s="18"/>
    </row>
    <row r="285">
      <c r="J285" s="18"/>
    </row>
    <row r="286">
      <c r="J286" s="18"/>
    </row>
    <row r="287">
      <c r="J287" s="18"/>
    </row>
    <row r="288">
      <c r="J288" s="18"/>
    </row>
    <row r="289">
      <c r="J289" s="18"/>
    </row>
    <row r="290">
      <c r="J290" s="18"/>
    </row>
    <row r="291">
      <c r="J291" s="18"/>
    </row>
    <row r="292">
      <c r="J292" s="18"/>
    </row>
    <row r="293">
      <c r="J293" s="18"/>
    </row>
    <row r="294">
      <c r="J294" s="18"/>
    </row>
    <row r="295">
      <c r="J295" s="18"/>
    </row>
    <row r="296">
      <c r="J296" s="18"/>
    </row>
    <row r="297">
      <c r="J297" s="18"/>
    </row>
    <row r="298">
      <c r="J298" s="18"/>
    </row>
    <row r="299">
      <c r="J299" s="18"/>
    </row>
    <row r="300">
      <c r="J300" s="18"/>
    </row>
    <row r="301">
      <c r="J301" s="18"/>
    </row>
    <row r="302">
      <c r="J302" s="18"/>
    </row>
    <row r="303">
      <c r="J303" s="18"/>
    </row>
    <row r="304">
      <c r="J304" s="18"/>
    </row>
    <row r="305">
      <c r="J305" s="18"/>
    </row>
    <row r="306">
      <c r="J306" s="18"/>
    </row>
    <row r="307">
      <c r="J307" s="18"/>
    </row>
    <row r="308">
      <c r="J308" s="18"/>
    </row>
    <row r="309">
      <c r="J309" s="18"/>
    </row>
    <row r="310">
      <c r="J310" s="18"/>
    </row>
    <row r="311">
      <c r="J311" s="18"/>
    </row>
    <row r="312">
      <c r="J312" s="18"/>
    </row>
    <row r="313">
      <c r="J313" s="18"/>
    </row>
    <row r="314">
      <c r="J314" s="18"/>
    </row>
    <row r="315">
      <c r="J315" s="18"/>
    </row>
    <row r="316">
      <c r="J316" s="18"/>
    </row>
    <row r="317">
      <c r="J317" s="18"/>
    </row>
    <row r="318">
      <c r="J318" s="18"/>
    </row>
    <row r="319">
      <c r="J319" s="18"/>
    </row>
    <row r="320">
      <c r="J320" s="18"/>
    </row>
    <row r="321">
      <c r="J321" s="18"/>
    </row>
    <row r="322">
      <c r="J322" s="18"/>
    </row>
    <row r="323">
      <c r="J323" s="18"/>
    </row>
    <row r="324">
      <c r="J324" s="18"/>
    </row>
    <row r="325">
      <c r="J325" s="18"/>
    </row>
    <row r="326">
      <c r="J326" s="18"/>
    </row>
    <row r="327">
      <c r="J327" s="18"/>
    </row>
    <row r="328">
      <c r="J328" s="18"/>
    </row>
    <row r="329">
      <c r="J329" s="18"/>
    </row>
    <row r="330">
      <c r="J330" s="18"/>
    </row>
    <row r="331">
      <c r="J331" s="18"/>
    </row>
    <row r="332">
      <c r="J332" s="18"/>
    </row>
    <row r="333">
      <c r="J333" s="18"/>
    </row>
    <row r="334">
      <c r="J334" s="18"/>
    </row>
    <row r="335">
      <c r="J335" s="18"/>
    </row>
    <row r="336">
      <c r="J336" s="18"/>
    </row>
    <row r="337">
      <c r="J337" s="18"/>
    </row>
    <row r="338">
      <c r="J338" s="18"/>
    </row>
    <row r="339">
      <c r="J339" s="18"/>
    </row>
    <row r="340">
      <c r="J340" s="18"/>
    </row>
    <row r="341">
      <c r="J341" s="18"/>
    </row>
    <row r="342">
      <c r="J342" s="18"/>
    </row>
    <row r="343">
      <c r="J343" s="18"/>
    </row>
    <row r="344">
      <c r="J344" s="18"/>
    </row>
    <row r="345">
      <c r="J345" s="18"/>
    </row>
    <row r="346">
      <c r="J346" s="18"/>
    </row>
    <row r="347">
      <c r="J347" s="18"/>
    </row>
    <row r="348">
      <c r="J348" s="18"/>
    </row>
    <row r="349">
      <c r="J349" s="18"/>
    </row>
    <row r="350">
      <c r="J350" s="18"/>
    </row>
    <row r="351">
      <c r="J351" s="18"/>
    </row>
    <row r="352">
      <c r="J352" s="18"/>
    </row>
    <row r="353">
      <c r="J353" s="18"/>
    </row>
    <row r="354">
      <c r="J354" s="18"/>
    </row>
    <row r="355">
      <c r="J355" s="18"/>
    </row>
    <row r="356">
      <c r="J356" s="18"/>
    </row>
    <row r="357">
      <c r="J357" s="18"/>
    </row>
    <row r="358">
      <c r="J358" s="18"/>
    </row>
    <row r="359">
      <c r="J359" s="18"/>
    </row>
    <row r="360">
      <c r="J360" s="18"/>
    </row>
    <row r="361">
      <c r="J361" s="18"/>
    </row>
    <row r="362">
      <c r="J362" s="18"/>
    </row>
    <row r="363">
      <c r="J363" s="18"/>
    </row>
    <row r="364">
      <c r="J364" s="18"/>
    </row>
    <row r="365">
      <c r="J365" s="18"/>
    </row>
    <row r="366">
      <c r="J366" s="18"/>
    </row>
    <row r="367">
      <c r="J367" s="18"/>
    </row>
    <row r="368">
      <c r="J368" s="18"/>
    </row>
    <row r="369">
      <c r="J369" s="18"/>
    </row>
    <row r="370">
      <c r="J370" s="18"/>
    </row>
    <row r="371">
      <c r="J371" s="18"/>
    </row>
    <row r="372">
      <c r="J372" s="18"/>
    </row>
    <row r="373">
      <c r="J373" s="18"/>
    </row>
    <row r="374">
      <c r="J374" s="18"/>
    </row>
    <row r="375">
      <c r="J375" s="18"/>
    </row>
    <row r="376">
      <c r="J376" s="18"/>
    </row>
    <row r="377">
      <c r="J377" s="18"/>
    </row>
    <row r="378">
      <c r="J378" s="18"/>
    </row>
    <row r="379">
      <c r="J379" s="18"/>
    </row>
    <row r="380">
      <c r="J380" s="18"/>
    </row>
    <row r="381">
      <c r="J381" s="18"/>
    </row>
    <row r="382">
      <c r="J382" s="18"/>
    </row>
    <row r="383">
      <c r="J383" s="18"/>
    </row>
    <row r="384">
      <c r="J384" s="18"/>
    </row>
    <row r="385">
      <c r="J385" s="18"/>
    </row>
    <row r="386">
      <c r="J386" s="18"/>
    </row>
    <row r="387">
      <c r="J387" s="18"/>
    </row>
    <row r="388">
      <c r="J388" s="18"/>
    </row>
    <row r="389">
      <c r="J389" s="18"/>
    </row>
    <row r="390">
      <c r="J390" s="18"/>
    </row>
    <row r="391">
      <c r="J391" s="18"/>
    </row>
    <row r="392">
      <c r="J392" s="18"/>
    </row>
    <row r="393">
      <c r="J393" s="18"/>
    </row>
    <row r="394">
      <c r="J394" s="18"/>
    </row>
    <row r="395">
      <c r="J395" s="18"/>
    </row>
    <row r="396">
      <c r="J396" s="18"/>
    </row>
    <row r="397">
      <c r="J397" s="18"/>
    </row>
    <row r="398">
      <c r="J398" s="18"/>
    </row>
    <row r="399">
      <c r="J399" s="18"/>
    </row>
    <row r="400">
      <c r="J400" s="18"/>
    </row>
    <row r="401">
      <c r="J401" s="18"/>
    </row>
    <row r="402">
      <c r="J402" s="18"/>
    </row>
    <row r="403">
      <c r="J403" s="18"/>
    </row>
    <row r="404">
      <c r="J404" s="18"/>
    </row>
    <row r="405">
      <c r="J405" s="18"/>
    </row>
    <row r="406">
      <c r="J406" s="18"/>
    </row>
    <row r="407">
      <c r="J407" s="18"/>
    </row>
    <row r="408">
      <c r="J408" s="18"/>
    </row>
    <row r="409">
      <c r="J409" s="18"/>
    </row>
    <row r="410">
      <c r="J410" s="18"/>
    </row>
    <row r="411">
      <c r="J411" s="18"/>
    </row>
    <row r="412">
      <c r="J412" s="18"/>
    </row>
    <row r="413">
      <c r="J413" s="18"/>
    </row>
    <row r="414">
      <c r="J414" s="18"/>
    </row>
    <row r="415">
      <c r="J415" s="18"/>
    </row>
    <row r="416">
      <c r="J416" s="18"/>
    </row>
    <row r="417">
      <c r="J417" s="18"/>
    </row>
    <row r="418">
      <c r="J418" s="18"/>
    </row>
    <row r="419">
      <c r="J419" s="18"/>
    </row>
    <row r="420">
      <c r="J420" s="18"/>
    </row>
    <row r="421">
      <c r="J421" s="18"/>
    </row>
    <row r="422">
      <c r="J422" s="18"/>
    </row>
    <row r="423">
      <c r="J423" s="18"/>
    </row>
    <row r="424">
      <c r="J424" s="18"/>
    </row>
    <row r="425">
      <c r="J425" s="18"/>
    </row>
    <row r="426">
      <c r="J426" s="18"/>
    </row>
    <row r="427">
      <c r="J427" s="18"/>
    </row>
    <row r="428">
      <c r="J428" s="18"/>
    </row>
    <row r="429">
      <c r="J429" s="18"/>
    </row>
    <row r="430">
      <c r="J430" s="18"/>
    </row>
    <row r="431">
      <c r="J431" s="18"/>
    </row>
    <row r="432">
      <c r="J432" s="18"/>
    </row>
    <row r="433">
      <c r="J433" s="18"/>
    </row>
    <row r="434">
      <c r="J434" s="18"/>
    </row>
    <row r="435">
      <c r="J435" s="18"/>
    </row>
    <row r="436">
      <c r="J436" s="18"/>
    </row>
    <row r="437">
      <c r="J437" s="18"/>
    </row>
    <row r="438">
      <c r="J438" s="18"/>
    </row>
    <row r="439">
      <c r="J439" s="18"/>
    </row>
    <row r="440">
      <c r="J440" s="18"/>
    </row>
    <row r="441">
      <c r="J441" s="18"/>
    </row>
    <row r="442">
      <c r="J442" s="18"/>
    </row>
    <row r="443">
      <c r="J443" s="18"/>
    </row>
    <row r="444">
      <c r="J444" s="18"/>
    </row>
    <row r="445">
      <c r="J445" s="18"/>
    </row>
    <row r="446">
      <c r="J446" s="18"/>
    </row>
    <row r="447">
      <c r="J447" s="18"/>
    </row>
    <row r="448">
      <c r="J448" s="18"/>
    </row>
    <row r="449">
      <c r="J449" s="18"/>
    </row>
    <row r="450">
      <c r="J450" s="18"/>
    </row>
    <row r="451">
      <c r="J451" s="18"/>
    </row>
    <row r="452">
      <c r="J452" s="18"/>
    </row>
    <row r="453">
      <c r="J453" s="18"/>
    </row>
    <row r="454">
      <c r="J454" s="18"/>
    </row>
    <row r="455">
      <c r="J455" s="18"/>
    </row>
    <row r="456">
      <c r="J456" s="18"/>
    </row>
    <row r="457">
      <c r="J457" s="18"/>
    </row>
    <row r="458">
      <c r="J458" s="18"/>
    </row>
    <row r="459">
      <c r="J459" s="18"/>
    </row>
    <row r="460">
      <c r="J460" s="18"/>
    </row>
    <row r="461">
      <c r="J461" s="18"/>
    </row>
    <row r="462">
      <c r="J462" s="18"/>
    </row>
    <row r="463">
      <c r="J463" s="18"/>
    </row>
    <row r="464">
      <c r="J464" s="18"/>
    </row>
    <row r="465">
      <c r="J465" s="18"/>
    </row>
    <row r="466">
      <c r="J466" s="18"/>
    </row>
    <row r="467">
      <c r="J467" s="18"/>
    </row>
    <row r="468">
      <c r="J468" s="18"/>
    </row>
    <row r="469">
      <c r="J469" s="18"/>
    </row>
    <row r="470">
      <c r="J470" s="18"/>
    </row>
    <row r="471">
      <c r="J471" s="18"/>
    </row>
    <row r="472">
      <c r="J472" s="18"/>
    </row>
    <row r="473">
      <c r="J473" s="18"/>
    </row>
    <row r="474">
      <c r="J474" s="18"/>
    </row>
    <row r="475">
      <c r="J475" s="18"/>
    </row>
    <row r="476">
      <c r="J476" s="18"/>
    </row>
    <row r="477">
      <c r="J477" s="18"/>
    </row>
    <row r="478">
      <c r="J478" s="18"/>
    </row>
    <row r="479">
      <c r="J479" s="18"/>
    </row>
    <row r="480">
      <c r="J480" s="18"/>
    </row>
    <row r="481">
      <c r="J481" s="18"/>
    </row>
    <row r="482">
      <c r="J482" s="18"/>
    </row>
    <row r="483">
      <c r="J483" s="18"/>
    </row>
    <row r="484">
      <c r="J484" s="18"/>
    </row>
    <row r="485">
      <c r="J485" s="18"/>
    </row>
    <row r="486">
      <c r="J486" s="18"/>
    </row>
    <row r="487">
      <c r="J487" s="18"/>
    </row>
    <row r="488">
      <c r="J488" s="18"/>
    </row>
    <row r="489">
      <c r="J489" s="18"/>
    </row>
    <row r="490">
      <c r="J490" s="18"/>
    </row>
    <row r="491">
      <c r="J491" s="18"/>
    </row>
    <row r="492">
      <c r="J492" s="18"/>
    </row>
    <row r="493">
      <c r="J493" s="18"/>
    </row>
    <row r="494">
      <c r="J494" s="18"/>
    </row>
    <row r="495">
      <c r="J495" s="18"/>
    </row>
    <row r="496">
      <c r="J496" s="18"/>
    </row>
    <row r="497">
      <c r="J497" s="18"/>
    </row>
    <row r="498">
      <c r="J498" s="18"/>
    </row>
    <row r="499">
      <c r="J499" s="18"/>
    </row>
    <row r="500">
      <c r="J500" s="18"/>
    </row>
    <row r="501">
      <c r="J501" s="18"/>
    </row>
    <row r="502">
      <c r="J502" s="18"/>
    </row>
    <row r="503">
      <c r="J503" s="18"/>
    </row>
    <row r="504">
      <c r="J504" s="18"/>
    </row>
    <row r="505">
      <c r="J505" s="18"/>
    </row>
    <row r="506">
      <c r="J506" s="18"/>
    </row>
    <row r="507">
      <c r="J507" s="18"/>
    </row>
    <row r="508">
      <c r="J508" s="18"/>
    </row>
    <row r="509">
      <c r="J509" s="18"/>
    </row>
    <row r="510">
      <c r="J510" s="18"/>
    </row>
    <row r="511">
      <c r="J511" s="18"/>
    </row>
    <row r="512">
      <c r="J512" s="18"/>
    </row>
    <row r="513">
      <c r="J513" s="18"/>
    </row>
    <row r="514">
      <c r="J514" s="18"/>
    </row>
    <row r="515">
      <c r="J515" s="18"/>
    </row>
    <row r="516">
      <c r="J516" s="18"/>
    </row>
    <row r="517">
      <c r="J517" s="18"/>
    </row>
    <row r="518">
      <c r="J518" s="18"/>
    </row>
    <row r="519">
      <c r="J519" s="18"/>
    </row>
    <row r="520">
      <c r="J520" s="18"/>
    </row>
    <row r="521">
      <c r="J521" s="18"/>
    </row>
    <row r="522">
      <c r="J522" s="18"/>
    </row>
    <row r="523">
      <c r="J523" s="18"/>
    </row>
    <row r="524">
      <c r="J524" s="18"/>
    </row>
    <row r="525">
      <c r="J525" s="18"/>
    </row>
    <row r="526">
      <c r="J526" s="18"/>
    </row>
    <row r="527">
      <c r="J527" s="18"/>
    </row>
    <row r="528">
      <c r="J528" s="18"/>
    </row>
    <row r="529">
      <c r="J529" s="18"/>
    </row>
    <row r="530">
      <c r="J530" s="18"/>
    </row>
    <row r="531">
      <c r="J531" s="18"/>
    </row>
    <row r="532">
      <c r="J532" s="18"/>
    </row>
    <row r="533">
      <c r="J533" s="18"/>
    </row>
    <row r="534">
      <c r="J534" s="18"/>
    </row>
    <row r="535">
      <c r="J535" s="18"/>
    </row>
    <row r="536">
      <c r="J536" s="18"/>
    </row>
    <row r="537">
      <c r="J537" s="18"/>
    </row>
    <row r="538">
      <c r="J538" s="18"/>
    </row>
    <row r="539">
      <c r="J539" s="18"/>
    </row>
    <row r="540">
      <c r="J540" s="18"/>
    </row>
    <row r="541">
      <c r="J541" s="18"/>
    </row>
    <row r="542">
      <c r="J542" s="18"/>
    </row>
    <row r="543">
      <c r="J543" s="18"/>
    </row>
    <row r="544">
      <c r="J544" s="18"/>
    </row>
    <row r="545">
      <c r="J545" s="18"/>
    </row>
    <row r="546">
      <c r="J546" s="18"/>
    </row>
    <row r="547">
      <c r="J547" s="18"/>
    </row>
    <row r="548">
      <c r="J548" s="18"/>
    </row>
    <row r="549">
      <c r="J549" s="18"/>
    </row>
    <row r="550">
      <c r="J550" s="18"/>
    </row>
    <row r="551">
      <c r="J551" s="18"/>
    </row>
    <row r="552">
      <c r="J552" s="18"/>
    </row>
    <row r="553">
      <c r="J553" s="18"/>
    </row>
    <row r="554">
      <c r="J554" s="18"/>
    </row>
    <row r="555">
      <c r="J555" s="18"/>
    </row>
    <row r="556">
      <c r="J556" s="18"/>
    </row>
    <row r="557">
      <c r="J557" s="18"/>
    </row>
    <row r="558">
      <c r="J558" s="18"/>
    </row>
    <row r="559">
      <c r="J559" s="18"/>
    </row>
    <row r="560">
      <c r="J560" s="18"/>
    </row>
    <row r="561">
      <c r="J561" s="18"/>
    </row>
    <row r="562">
      <c r="J562" s="18"/>
    </row>
    <row r="563">
      <c r="J563" s="18"/>
    </row>
    <row r="564">
      <c r="J564" s="18"/>
    </row>
    <row r="565">
      <c r="J565" s="18"/>
    </row>
    <row r="566">
      <c r="J566" s="18"/>
    </row>
    <row r="567">
      <c r="J567" s="18"/>
    </row>
    <row r="568">
      <c r="J568" s="18"/>
    </row>
    <row r="569">
      <c r="J569" s="18"/>
    </row>
    <row r="570">
      <c r="J570" s="18"/>
    </row>
    <row r="571">
      <c r="J571" s="18"/>
    </row>
    <row r="572">
      <c r="J572" s="18"/>
    </row>
    <row r="573">
      <c r="J573" s="18"/>
    </row>
    <row r="574">
      <c r="J574" s="18"/>
    </row>
    <row r="575">
      <c r="J575" s="18"/>
    </row>
    <row r="576">
      <c r="J576" s="18"/>
    </row>
    <row r="577">
      <c r="J577" s="18"/>
    </row>
    <row r="578">
      <c r="J578" s="18"/>
    </row>
    <row r="579">
      <c r="J579" s="18"/>
    </row>
    <row r="580">
      <c r="J580" s="18"/>
    </row>
    <row r="581">
      <c r="J581" s="18"/>
    </row>
    <row r="582">
      <c r="J582" s="18"/>
    </row>
    <row r="583">
      <c r="J583" s="18"/>
    </row>
    <row r="584">
      <c r="J584" s="18"/>
    </row>
    <row r="585">
      <c r="J585" s="18"/>
    </row>
    <row r="586">
      <c r="J586" s="18"/>
    </row>
    <row r="587">
      <c r="J587" s="18"/>
    </row>
    <row r="588">
      <c r="J588" s="18"/>
    </row>
    <row r="589">
      <c r="J589" s="18"/>
    </row>
    <row r="590">
      <c r="J590" s="18"/>
    </row>
    <row r="591">
      <c r="J591" s="18"/>
    </row>
    <row r="592">
      <c r="J592" s="18"/>
    </row>
    <row r="593">
      <c r="J593" s="18"/>
    </row>
    <row r="594">
      <c r="J594" s="18"/>
    </row>
    <row r="595">
      <c r="J595" s="18"/>
    </row>
    <row r="596">
      <c r="J596" s="18"/>
    </row>
    <row r="597">
      <c r="J597" s="18"/>
    </row>
    <row r="598">
      <c r="J598" s="18"/>
    </row>
    <row r="599">
      <c r="J599" s="18"/>
    </row>
    <row r="600">
      <c r="J600" s="18"/>
    </row>
    <row r="601">
      <c r="J601" s="18"/>
    </row>
    <row r="602">
      <c r="J602" s="18"/>
    </row>
    <row r="603">
      <c r="J603" s="18"/>
    </row>
    <row r="604">
      <c r="J604" s="18"/>
    </row>
    <row r="605">
      <c r="J605" s="18"/>
    </row>
    <row r="606">
      <c r="J606" s="18"/>
    </row>
    <row r="607">
      <c r="J607" s="18"/>
    </row>
    <row r="608">
      <c r="J608" s="18"/>
    </row>
    <row r="609">
      <c r="J609" s="18"/>
    </row>
    <row r="610">
      <c r="J610" s="18"/>
    </row>
    <row r="611">
      <c r="J611" s="18"/>
    </row>
    <row r="612">
      <c r="J612" s="18"/>
    </row>
    <row r="613">
      <c r="J613" s="18"/>
    </row>
    <row r="614">
      <c r="J614" s="18"/>
    </row>
    <row r="615">
      <c r="J615" s="18"/>
    </row>
    <row r="616">
      <c r="J616" s="18"/>
    </row>
    <row r="617">
      <c r="J617" s="18"/>
    </row>
    <row r="618">
      <c r="J618" s="18"/>
    </row>
    <row r="619">
      <c r="J619" s="18"/>
    </row>
    <row r="620">
      <c r="J620" s="18"/>
    </row>
    <row r="621">
      <c r="J621" s="18"/>
    </row>
    <row r="622">
      <c r="J622" s="18"/>
    </row>
    <row r="623">
      <c r="J623" s="18"/>
    </row>
    <row r="624">
      <c r="J624" s="18"/>
    </row>
    <row r="625">
      <c r="J625" s="18"/>
    </row>
    <row r="626">
      <c r="J626" s="18"/>
    </row>
    <row r="627">
      <c r="J627" s="18"/>
    </row>
    <row r="628">
      <c r="J628" s="18"/>
    </row>
    <row r="629">
      <c r="J629" s="18"/>
    </row>
    <row r="630">
      <c r="J630" s="18"/>
    </row>
    <row r="631">
      <c r="J631" s="18"/>
    </row>
    <row r="632">
      <c r="J632" s="18"/>
    </row>
    <row r="633">
      <c r="J633" s="18"/>
    </row>
    <row r="634">
      <c r="J634" s="18"/>
    </row>
    <row r="635">
      <c r="J635" s="18"/>
    </row>
    <row r="636">
      <c r="J636" s="18"/>
    </row>
    <row r="637">
      <c r="J637" s="18"/>
    </row>
    <row r="638">
      <c r="J638" s="18"/>
    </row>
    <row r="639">
      <c r="J639" s="18"/>
    </row>
    <row r="640">
      <c r="J640" s="18"/>
    </row>
    <row r="641">
      <c r="J641" s="18"/>
    </row>
    <row r="642">
      <c r="J642" s="18"/>
    </row>
    <row r="643">
      <c r="J643" s="18"/>
    </row>
    <row r="644">
      <c r="J644" s="18"/>
    </row>
    <row r="645">
      <c r="J645" s="18"/>
    </row>
    <row r="646">
      <c r="J646" s="18"/>
    </row>
    <row r="647">
      <c r="J647" s="18"/>
    </row>
    <row r="648">
      <c r="J648" s="18"/>
    </row>
    <row r="649">
      <c r="J649" s="18"/>
    </row>
    <row r="650">
      <c r="J650" s="18"/>
    </row>
    <row r="651">
      <c r="J651" s="18"/>
    </row>
    <row r="652">
      <c r="J652" s="18"/>
    </row>
    <row r="653">
      <c r="J653" s="18"/>
    </row>
    <row r="654">
      <c r="J654" s="18"/>
    </row>
    <row r="655">
      <c r="J655" s="18"/>
    </row>
    <row r="656">
      <c r="J656" s="18"/>
    </row>
    <row r="657">
      <c r="J657" s="18"/>
    </row>
    <row r="658">
      <c r="J658" s="18"/>
    </row>
    <row r="659">
      <c r="J659" s="18"/>
    </row>
    <row r="660">
      <c r="J660" s="18"/>
    </row>
    <row r="661">
      <c r="J661" s="18"/>
    </row>
    <row r="662">
      <c r="J662" s="18"/>
    </row>
    <row r="663">
      <c r="J663" s="18"/>
    </row>
    <row r="664">
      <c r="J664" s="18"/>
    </row>
    <row r="665">
      <c r="J665" s="18"/>
    </row>
    <row r="666">
      <c r="J666" s="18"/>
    </row>
    <row r="667">
      <c r="J667" s="18"/>
    </row>
    <row r="668">
      <c r="J668" s="18"/>
    </row>
    <row r="669">
      <c r="J669" s="18"/>
    </row>
    <row r="670">
      <c r="J670" s="18"/>
    </row>
    <row r="671">
      <c r="J671" s="18"/>
    </row>
    <row r="672">
      <c r="J672" s="18"/>
    </row>
    <row r="673">
      <c r="J673" s="18"/>
    </row>
    <row r="674">
      <c r="J674" s="18"/>
    </row>
    <row r="675">
      <c r="J675" s="18"/>
    </row>
    <row r="676">
      <c r="J676" s="18"/>
    </row>
    <row r="677">
      <c r="J677" s="18"/>
    </row>
    <row r="678">
      <c r="J678" s="18"/>
    </row>
    <row r="679">
      <c r="J679" s="18"/>
    </row>
    <row r="680">
      <c r="J680" s="18"/>
    </row>
    <row r="681">
      <c r="J681" s="18"/>
    </row>
    <row r="682">
      <c r="J682" s="18"/>
    </row>
    <row r="683">
      <c r="J683" s="18"/>
    </row>
    <row r="684">
      <c r="J684" s="18"/>
    </row>
    <row r="685">
      <c r="J685" s="18"/>
    </row>
    <row r="686">
      <c r="J686" s="18"/>
    </row>
    <row r="687">
      <c r="J687" s="18"/>
    </row>
    <row r="688">
      <c r="J688" s="18"/>
    </row>
    <row r="689">
      <c r="J689" s="18"/>
    </row>
    <row r="690">
      <c r="J690" s="18"/>
    </row>
    <row r="691">
      <c r="J691" s="18"/>
    </row>
    <row r="692">
      <c r="J692" s="18"/>
    </row>
    <row r="693">
      <c r="J693" s="18"/>
    </row>
    <row r="694">
      <c r="J694" s="18"/>
    </row>
    <row r="695">
      <c r="J695" s="18"/>
    </row>
    <row r="696">
      <c r="J696" s="18"/>
    </row>
    <row r="697">
      <c r="J697" s="18"/>
    </row>
    <row r="698">
      <c r="J698" s="18"/>
    </row>
    <row r="699">
      <c r="J699" s="18"/>
    </row>
    <row r="700">
      <c r="J700" s="18"/>
    </row>
    <row r="701">
      <c r="J701" s="18"/>
    </row>
    <row r="702">
      <c r="J702" s="18"/>
    </row>
    <row r="703">
      <c r="J703" s="18"/>
    </row>
    <row r="704">
      <c r="J704" s="18"/>
    </row>
    <row r="705">
      <c r="J705" s="18"/>
    </row>
    <row r="706">
      <c r="J706" s="18"/>
    </row>
    <row r="707">
      <c r="J707" s="18"/>
    </row>
    <row r="708">
      <c r="J708" s="18"/>
    </row>
    <row r="709">
      <c r="J709" s="18"/>
    </row>
    <row r="710">
      <c r="J710" s="18"/>
    </row>
    <row r="711">
      <c r="J711" s="18"/>
    </row>
    <row r="712">
      <c r="J712" s="18"/>
    </row>
    <row r="713">
      <c r="J713" s="18"/>
    </row>
    <row r="714">
      <c r="J714" s="18"/>
    </row>
    <row r="715">
      <c r="J715" s="18"/>
    </row>
    <row r="716">
      <c r="J716" s="18"/>
    </row>
    <row r="717">
      <c r="J717" s="18"/>
    </row>
    <row r="718">
      <c r="J718" s="18"/>
    </row>
    <row r="719">
      <c r="J719" s="18"/>
    </row>
    <row r="720">
      <c r="J720" s="18"/>
    </row>
    <row r="721">
      <c r="J721" s="18"/>
    </row>
    <row r="722">
      <c r="J722" s="18"/>
    </row>
    <row r="723">
      <c r="J723" s="18"/>
    </row>
    <row r="724">
      <c r="J724" s="18"/>
    </row>
    <row r="725">
      <c r="J725" s="18"/>
    </row>
    <row r="726">
      <c r="J726" s="18"/>
    </row>
    <row r="727">
      <c r="J727" s="18"/>
    </row>
    <row r="728">
      <c r="J728" s="18"/>
    </row>
    <row r="729">
      <c r="J729" s="18"/>
    </row>
    <row r="730">
      <c r="J730" s="18"/>
    </row>
    <row r="731">
      <c r="J731" s="18"/>
    </row>
    <row r="732">
      <c r="J732" s="18"/>
    </row>
    <row r="733">
      <c r="J733" s="18"/>
    </row>
    <row r="734">
      <c r="J734" s="18"/>
    </row>
    <row r="735">
      <c r="J735" s="18"/>
    </row>
    <row r="736">
      <c r="J736" s="18"/>
    </row>
    <row r="737">
      <c r="J737" s="18"/>
    </row>
    <row r="738">
      <c r="J738" s="18"/>
    </row>
    <row r="739">
      <c r="J739" s="18"/>
    </row>
    <row r="740">
      <c r="J740" s="18"/>
    </row>
    <row r="741">
      <c r="J741" s="18"/>
    </row>
    <row r="742">
      <c r="J742" s="18"/>
    </row>
    <row r="743">
      <c r="J743" s="18"/>
    </row>
    <row r="744">
      <c r="J744" s="18"/>
    </row>
    <row r="745">
      <c r="J745" s="18"/>
    </row>
    <row r="746">
      <c r="J746" s="18"/>
    </row>
    <row r="747">
      <c r="J747" s="18"/>
    </row>
    <row r="748">
      <c r="J748" s="18"/>
    </row>
    <row r="749">
      <c r="J749" s="18"/>
    </row>
    <row r="750">
      <c r="J750" s="18"/>
    </row>
    <row r="751">
      <c r="J751" s="18"/>
    </row>
    <row r="752">
      <c r="J752" s="18"/>
    </row>
    <row r="753">
      <c r="J753" s="18"/>
    </row>
    <row r="754">
      <c r="J754" s="18"/>
    </row>
    <row r="755">
      <c r="J755" s="18"/>
    </row>
    <row r="756">
      <c r="J756" s="18"/>
    </row>
    <row r="757">
      <c r="J757" s="18"/>
    </row>
    <row r="758">
      <c r="J758" s="18"/>
    </row>
    <row r="759">
      <c r="J759" s="18"/>
    </row>
    <row r="760">
      <c r="J760" s="18"/>
    </row>
    <row r="761">
      <c r="J761" s="18"/>
    </row>
    <row r="762">
      <c r="J762" s="18"/>
    </row>
    <row r="763">
      <c r="J763" s="18"/>
    </row>
    <row r="764">
      <c r="J764" s="18"/>
    </row>
    <row r="765">
      <c r="J765" s="18"/>
    </row>
    <row r="766">
      <c r="J766" s="18"/>
    </row>
    <row r="767">
      <c r="J767" s="18"/>
    </row>
    <row r="768">
      <c r="J768" s="18"/>
    </row>
    <row r="769">
      <c r="J769" s="18"/>
    </row>
    <row r="770">
      <c r="J770" s="18"/>
    </row>
    <row r="771">
      <c r="J771" s="18"/>
    </row>
    <row r="772">
      <c r="J772" s="18"/>
    </row>
    <row r="773">
      <c r="J773" s="18"/>
    </row>
    <row r="774">
      <c r="J774" s="18"/>
    </row>
    <row r="775">
      <c r="J775" s="18"/>
    </row>
    <row r="776">
      <c r="J776" s="18"/>
    </row>
    <row r="777">
      <c r="J777" s="18"/>
    </row>
    <row r="778">
      <c r="J778" s="18"/>
    </row>
    <row r="779">
      <c r="J779" s="18"/>
    </row>
    <row r="780">
      <c r="J780" s="18"/>
    </row>
    <row r="781">
      <c r="J781" s="18"/>
    </row>
    <row r="782">
      <c r="J782" s="18"/>
    </row>
    <row r="783">
      <c r="J783" s="18"/>
    </row>
    <row r="784">
      <c r="J784" s="18"/>
    </row>
    <row r="785">
      <c r="J785" s="18"/>
    </row>
    <row r="786">
      <c r="J786" s="18"/>
    </row>
    <row r="787">
      <c r="J787" s="18"/>
    </row>
    <row r="788">
      <c r="J788" s="18"/>
    </row>
    <row r="789">
      <c r="J789" s="18"/>
    </row>
    <row r="790">
      <c r="J790" s="18"/>
    </row>
    <row r="791">
      <c r="J791" s="18"/>
    </row>
    <row r="792">
      <c r="J792" s="18"/>
    </row>
    <row r="793">
      <c r="J793" s="18"/>
    </row>
    <row r="794">
      <c r="J794" s="18"/>
    </row>
    <row r="795">
      <c r="J795" s="18"/>
    </row>
    <row r="796">
      <c r="J796" s="18"/>
    </row>
    <row r="797">
      <c r="J797" s="18"/>
    </row>
    <row r="798">
      <c r="J798" s="18"/>
    </row>
    <row r="799">
      <c r="J799" s="18"/>
    </row>
    <row r="800">
      <c r="J800" s="18"/>
    </row>
    <row r="801">
      <c r="J801" s="18"/>
    </row>
    <row r="802">
      <c r="J802" s="18"/>
    </row>
    <row r="803">
      <c r="J803" s="18"/>
    </row>
    <row r="804">
      <c r="J804" s="18"/>
    </row>
    <row r="805">
      <c r="J805" s="18"/>
    </row>
    <row r="806">
      <c r="J806" s="18"/>
    </row>
    <row r="807">
      <c r="J807" s="18"/>
    </row>
    <row r="808">
      <c r="J808" s="18"/>
    </row>
    <row r="809">
      <c r="J809" s="18"/>
    </row>
    <row r="810">
      <c r="J810" s="18"/>
    </row>
    <row r="811">
      <c r="J811" s="18"/>
    </row>
    <row r="812">
      <c r="J812" s="18"/>
    </row>
    <row r="813">
      <c r="J813" s="18"/>
    </row>
    <row r="814">
      <c r="J814" s="18"/>
    </row>
    <row r="815">
      <c r="J815" s="18"/>
    </row>
    <row r="816">
      <c r="J816" s="18"/>
    </row>
    <row r="817">
      <c r="J817" s="18"/>
    </row>
    <row r="818">
      <c r="J818" s="18"/>
    </row>
    <row r="819">
      <c r="J819" s="18"/>
    </row>
    <row r="820">
      <c r="J820" s="18"/>
    </row>
    <row r="821">
      <c r="J821" s="18"/>
    </row>
    <row r="822">
      <c r="J822" s="18"/>
    </row>
    <row r="823">
      <c r="J823" s="18"/>
    </row>
    <row r="824">
      <c r="J824" s="18"/>
    </row>
    <row r="825">
      <c r="J825" s="18"/>
    </row>
    <row r="826">
      <c r="J826" s="18"/>
    </row>
    <row r="827">
      <c r="J827" s="18"/>
    </row>
    <row r="828">
      <c r="J828" s="18"/>
    </row>
    <row r="829">
      <c r="J829" s="18"/>
    </row>
    <row r="830">
      <c r="J830" s="18"/>
    </row>
    <row r="831">
      <c r="J831" s="18"/>
    </row>
    <row r="832">
      <c r="J832" s="18"/>
    </row>
    <row r="833">
      <c r="J833" s="18"/>
    </row>
    <row r="834">
      <c r="J834" s="18"/>
    </row>
    <row r="835">
      <c r="J835" s="18"/>
    </row>
    <row r="836">
      <c r="J836" s="18"/>
    </row>
    <row r="837">
      <c r="J837" s="18"/>
    </row>
    <row r="838">
      <c r="J838" s="18"/>
    </row>
    <row r="839">
      <c r="J839" s="18"/>
    </row>
    <row r="840">
      <c r="J840" s="18"/>
    </row>
    <row r="841">
      <c r="J841" s="18"/>
    </row>
    <row r="842">
      <c r="J842" s="18"/>
    </row>
    <row r="843">
      <c r="J843" s="18"/>
    </row>
    <row r="844">
      <c r="J844" s="18"/>
    </row>
    <row r="845">
      <c r="J845" s="18"/>
    </row>
    <row r="846">
      <c r="J846" s="18"/>
    </row>
    <row r="847">
      <c r="J847" s="18"/>
    </row>
    <row r="848">
      <c r="J848" s="18"/>
    </row>
    <row r="849">
      <c r="J849" s="18"/>
    </row>
    <row r="850">
      <c r="J850" s="18"/>
    </row>
    <row r="851">
      <c r="J851" s="18"/>
    </row>
    <row r="852">
      <c r="J852" s="18"/>
    </row>
    <row r="853">
      <c r="J853" s="18"/>
    </row>
    <row r="854">
      <c r="J854" s="18"/>
    </row>
    <row r="855">
      <c r="J855" s="18"/>
    </row>
    <row r="856">
      <c r="J856" s="18"/>
    </row>
    <row r="857">
      <c r="J857" s="18"/>
    </row>
    <row r="858">
      <c r="J858" s="18"/>
    </row>
    <row r="859">
      <c r="J859" s="18"/>
    </row>
    <row r="860">
      <c r="J860" s="18"/>
    </row>
    <row r="861">
      <c r="J861" s="18"/>
    </row>
    <row r="862">
      <c r="J862" s="18"/>
    </row>
    <row r="863">
      <c r="J863" s="18"/>
    </row>
    <row r="864">
      <c r="J864" s="18"/>
    </row>
    <row r="865">
      <c r="J865" s="18"/>
    </row>
    <row r="866">
      <c r="J866" s="18"/>
    </row>
    <row r="867">
      <c r="J867" s="18"/>
    </row>
    <row r="868">
      <c r="J868" s="18"/>
    </row>
    <row r="869">
      <c r="J869" s="18"/>
    </row>
    <row r="870">
      <c r="J870" s="18"/>
    </row>
    <row r="871">
      <c r="J871" s="18"/>
    </row>
    <row r="872">
      <c r="J872" s="18"/>
    </row>
    <row r="873">
      <c r="J873" s="18"/>
    </row>
    <row r="874">
      <c r="J874" s="18"/>
    </row>
    <row r="875">
      <c r="J875" s="18"/>
    </row>
    <row r="876">
      <c r="J876" s="18"/>
    </row>
    <row r="877">
      <c r="J877" s="18"/>
    </row>
    <row r="878">
      <c r="J878" s="18"/>
    </row>
    <row r="879">
      <c r="J879" s="18"/>
    </row>
    <row r="880">
      <c r="J880" s="18"/>
    </row>
    <row r="881">
      <c r="J881" s="18"/>
    </row>
    <row r="882">
      <c r="J882" s="18"/>
    </row>
    <row r="883">
      <c r="J883" s="18"/>
    </row>
    <row r="884">
      <c r="J884" s="18"/>
    </row>
    <row r="885">
      <c r="J885" s="18"/>
    </row>
    <row r="886">
      <c r="J886" s="18"/>
    </row>
    <row r="887">
      <c r="J887" s="18"/>
    </row>
    <row r="888">
      <c r="J888" s="18"/>
    </row>
    <row r="889">
      <c r="J889" s="18"/>
    </row>
    <row r="890">
      <c r="J890" s="18"/>
    </row>
    <row r="891">
      <c r="J891" s="18"/>
    </row>
    <row r="892">
      <c r="J892" s="18"/>
    </row>
    <row r="893">
      <c r="J893" s="18"/>
    </row>
    <row r="894">
      <c r="J894" s="18"/>
    </row>
    <row r="895">
      <c r="J895" s="18"/>
    </row>
    <row r="896">
      <c r="J896" s="18"/>
    </row>
    <row r="897">
      <c r="J897" s="18"/>
    </row>
    <row r="898">
      <c r="J898" s="18"/>
    </row>
    <row r="899">
      <c r="J899" s="18"/>
    </row>
    <row r="900">
      <c r="J900" s="18"/>
    </row>
    <row r="901">
      <c r="J901" s="18"/>
    </row>
    <row r="902">
      <c r="J902" s="18"/>
    </row>
    <row r="903">
      <c r="J903" s="18"/>
    </row>
    <row r="904">
      <c r="J904" s="18"/>
    </row>
    <row r="905">
      <c r="J905" s="18"/>
    </row>
    <row r="906">
      <c r="J906" s="18"/>
    </row>
    <row r="907">
      <c r="J907" s="18"/>
    </row>
    <row r="908">
      <c r="J908" s="18"/>
    </row>
    <row r="909">
      <c r="J909" s="18"/>
    </row>
    <row r="910">
      <c r="J910" s="18"/>
    </row>
    <row r="911">
      <c r="J911" s="18"/>
    </row>
    <row r="912">
      <c r="J912" s="18"/>
    </row>
    <row r="913">
      <c r="J913" s="18"/>
    </row>
    <row r="914">
      <c r="J914" s="18"/>
    </row>
    <row r="915">
      <c r="J915" s="18"/>
    </row>
    <row r="916">
      <c r="J916" s="18"/>
    </row>
    <row r="917">
      <c r="J917" s="18"/>
    </row>
    <row r="918">
      <c r="J918" s="18"/>
    </row>
    <row r="919">
      <c r="J919" s="18"/>
    </row>
    <row r="920">
      <c r="J920" s="18"/>
    </row>
    <row r="921">
      <c r="J921" s="18"/>
    </row>
    <row r="922">
      <c r="J922" s="18"/>
    </row>
    <row r="923">
      <c r="J923" s="18"/>
    </row>
    <row r="924">
      <c r="J924" s="18"/>
    </row>
    <row r="925">
      <c r="J925" s="18"/>
    </row>
    <row r="926">
      <c r="J926" s="18"/>
    </row>
    <row r="927">
      <c r="J927" s="18"/>
    </row>
    <row r="928">
      <c r="J928" s="18"/>
    </row>
    <row r="929">
      <c r="J929" s="18"/>
    </row>
    <row r="930">
      <c r="J930" s="18"/>
    </row>
    <row r="931">
      <c r="J931" s="18"/>
    </row>
    <row r="932">
      <c r="J932" s="18"/>
    </row>
    <row r="933">
      <c r="J933" s="18"/>
    </row>
    <row r="934">
      <c r="J934" s="18"/>
    </row>
    <row r="935">
      <c r="J935" s="18"/>
    </row>
    <row r="936">
      <c r="J936" s="18"/>
    </row>
    <row r="937">
      <c r="J937" s="18"/>
    </row>
    <row r="938">
      <c r="J938" s="18"/>
    </row>
    <row r="939">
      <c r="J939" s="18"/>
    </row>
    <row r="940">
      <c r="J940" s="18"/>
    </row>
    <row r="941">
      <c r="J941" s="18"/>
    </row>
    <row r="942">
      <c r="J942" s="18"/>
    </row>
    <row r="943">
      <c r="J943" s="18"/>
    </row>
    <row r="944">
      <c r="J944" s="18"/>
    </row>
    <row r="945">
      <c r="J945" s="18"/>
    </row>
    <row r="946">
      <c r="J946" s="18"/>
    </row>
    <row r="947">
      <c r="J947" s="18"/>
    </row>
    <row r="948">
      <c r="J948" s="18"/>
    </row>
    <row r="949">
      <c r="J949" s="18"/>
    </row>
    <row r="950">
      <c r="J950" s="18"/>
    </row>
    <row r="951">
      <c r="J951" s="18"/>
    </row>
    <row r="952">
      <c r="J952" s="18"/>
    </row>
    <row r="953">
      <c r="J953" s="18"/>
    </row>
    <row r="954">
      <c r="J954" s="18"/>
    </row>
    <row r="955">
      <c r="J955" s="18"/>
    </row>
    <row r="956">
      <c r="J956" s="18"/>
    </row>
    <row r="957">
      <c r="J957" s="18"/>
    </row>
    <row r="958">
      <c r="J958" s="18"/>
    </row>
    <row r="959">
      <c r="J959" s="18"/>
    </row>
    <row r="960">
      <c r="J960" s="18"/>
    </row>
    <row r="961">
      <c r="J961" s="18"/>
    </row>
    <row r="962">
      <c r="J962" s="18"/>
    </row>
    <row r="963">
      <c r="J963" s="18"/>
    </row>
    <row r="964">
      <c r="J964" s="18"/>
    </row>
    <row r="965">
      <c r="J965" s="18"/>
    </row>
    <row r="966">
      <c r="J966" s="18"/>
    </row>
    <row r="967">
      <c r="J967" s="18"/>
    </row>
    <row r="968">
      <c r="J968" s="18"/>
    </row>
    <row r="969">
      <c r="J969" s="18"/>
    </row>
    <row r="970">
      <c r="J970" s="18"/>
    </row>
    <row r="971">
      <c r="J971" s="18"/>
    </row>
    <row r="972">
      <c r="J972" s="18"/>
    </row>
    <row r="973">
      <c r="J973" s="18"/>
    </row>
    <row r="974">
      <c r="J974" s="18"/>
    </row>
    <row r="975">
      <c r="J975" s="18"/>
    </row>
    <row r="976">
      <c r="J976" s="18"/>
    </row>
    <row r="977">
      <c r="J977" s="18"/>
    </row>
    <row r="978">
      <c r="J978" s="18"/>
    </row>
    <row r="979">
      <c r="J979" s="18"/>
    </row>
    <row r="980">
      <c r="J980" s="18"/>
    </row>
    <row r="981">
      <c r="J981" s="18"/>
    </row>
    <row r="982">
      <c r="J982" s="18"/>
    </row>
    <row r="983">
      <c r="J983" s="18"/>
    </row>
    <row r="984">
      <c r="J984" s="18"/>
    </row>
    <row r="985">
      <c r="J985" s="18"/>
    </row>
    <row r="986">
      <c r="J986" s="18"/>
    </row>
    <row r="987">
      <c r="J987" s="18"/>
    </row>
    <row r="988">
      <c r="J988" s="18"/>
    </row>
    <row r="989">
      <c r="J989" s="18"/>
    </row>
    <row r="990">
      <c r="J990" s="18"/>
    </row>
    <row r="991">
      <c r="J991" s="18"/>
    </row>
    <row r="992">
      <c r="J992" s="18"/>
    </row>
    <row r="993">
      <c r="J993" s="18"/>
    </row>
    <row r="994">
      <c r="J994" s="18"/>
    </row>
    <row r="995">
      <c r="J995" s="18"/>
    </row>
    <row r="996">
      <c r="J996" s="18"/>
    </row>
    <row r="997">
      <c r="J997" s="18"/>
    </row>
    <row r="998">
      <c r="J998" s="18"/>
    </row>
    <row r="999">
      <c r="J999" s="18"/>
    </row>
    <row r="1000">
      <c r="J1000" s="18"/>
    </row>
  </sheetData>
  <mergeCells count="5">
    <mergeCell ref="B4:K5"/>
    <mergeCell ref="B14:K15"/>
    <mergeCell ref="B24:K25"/>
    <mergeCell ref="E32:E33"/>
    <mergeCell ref="F32:K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>
      <c r="B7" s="7" t="s">
        <v>11</v>
      </c>
      <c r="C7" s="8">
        <v>25.0</v>
      </c>
      <c r="D7" s="8">
        <v>50.0</v>
      </c>
      <c r="E7" s="8">
        <v>19.0</v>
      </c>
      <c r="F7" s="8">
        <v>15.0</v>
      </c>
      <c r="G7" s="9">
        <v>0.002800925925925926</v>
      </c>
      <c r="H7" s="9">
        <v>0.0012152777777777778</v>
      </c>
      <c r="I7" s="8">
        <v>14.49</v>
      </c>
      <c r="J7" s="9">
        <v>0.03125</v>
      </c>
      <c r="K7" s="11"/>
    </row>
    <row r="8">
      <c r="B8" s="7" t="s">
        <v>12</v>
      </c>
      <c r="C8" s="8"/>
      <c r="D8" s="11"/>
      <c r="E8" s="11"/>
      <c r="F8" s="11"/>
      <c r="G8" s="8"/>
      <c r="H8" s="8"/>
      <c r="I8" s="8"/>
      <c r="J8" s="8"/>
      <c r="K8" s="11"/>
    </row>
    <row r="9">
      <c r="B9" s="7" t="s">
        <v>14</v>
      </c>
      <c r="C9" s="11"/>
      <c r="D9" s="11"/>
      <c r="E9" s="11"/>
      <c r="F9" s="11"/>
      <c r="G9" s="11"/>
      <c r="H9" s="11"/>
      <c r="I9" s="11"/>
      <c r="J9" s="11"/>
      <c r="K9" s="11"/>
    </row>
    <row r="10">
      <c r="B10" s="7" t="s">
        <v>15</v>
      </c>
      <c r="C10" s="11"/>
      <c r="D10" s="11"/>
      <c r="E10" s="11"/>
      <c r="F10" s="11"/>
      <c r="G10" s="11"/>
      <c r="H10" s="11"/>
      <c r="I10" s="11"/>
      <c r="J10" s="1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</row>
    <row r="17">
      <c r="B17" s="7" t="s">
        <v>11</v>
      </c>
      <c r="C17" s="8">
        <f t="shared" ref="C17:J17" si="1">C7</f>
        <v>25</v>
      </c>
      <c r="D17" s="8">
        <f t="shared" si="1"/>
        <v>50</v>
      </c>
      <c r="E17" s="8">
        <f t="shared" si="1"/>
        <v>19</v>
      </c>
      <c r="F17" s="8">
        <f t="shared" si="1"/>
        <v>15</v>
      </c>
      <c r="G17" s="9">
        <f t="shared" si="1"/>
        <v>0.002800925926</v>
      </c>
      <c r="H17" s="9">
        <f t="shared" si="1"/>
        <v>0.001215277778</v>
      </c>
      <c r="I17" s="8">
        <f t="shared" si="1"/>
        <v>14.49</v>
      </c>
      <c r="J17" s="9">
        <f t="shared" si="1"/>
        <v>0.03125</v>
      </c>
      <c r="K17" s="11"/>
    </row>
    <row r="18">
      <c r="B18" s="7" t="s">
        <v>12</v>
      </c>
      <c r="C18" s="8">
        <f t="shared" ref="C18:F18" si="2">ROUND(C27*$C$34+C28,0)</f>
        <v>27</v>
      </c>
      <c r="D18" s="8">
        <f t="shared" si="2"/>
        <v>58</v>
      </c>
      <c r="E18" s="8">
        <f t="shared" si="2"/>
        <v>22</v>
      </c>
      <c r="F18" s="8">
        <f t="shared" si="2"/>
        <v>17</v>
      </c>
      <c r="G18" s="9">
        <f t="shared" ref="G18:H18" si="3">G27*$C$34+G28</f>
        <v>0.003024691358</v>
      </c>
      <c r="H18" s="9">
        <f t="shared" si="3"/>
        <v>0.001273148148</v>
      </c>
      <c r="I18" s="8">
        <f>ROUND(I27*$C$34+I28, 2)</f>
        <v>14.29</v>
      </c>
      <c r="J18" s="9">
        <f>J27*$C$34+J28</f>
        <v>0.02662037037</v>
      </c>
      <c r="K18" s="8"/>
    </row>
    <row r="19">
      <c r="B19" s="7" t="s">
        <v>14</v>
      </c>
      <c r="C19" s="8">
        <f t="shared" ref="C19:F19" si="4">ROUND(C27*$C$35+C28,0)</f>
        <v>28</v>
      </c>
      <c r="D19" s="8">
        <f t="shared" si="4"/>
        <v>67</v>
      </c>
      <c r="E19" s="8">
        <f t="shared" si="4"/>
        <v>24</v>
      </c>
      <c r="F19" s="8">
        <f t="shared" si="4"/>
        <v>18</v>
      </c>
      <c r="G19" s="9">
        <f t="shared" ref="G19:H19" si="5">G27*4+G28</f>
        <v>0.00324845679</v>
      </c>
      <c r="H19" s="9">
        <f t="shared" si="5"/>
        <v>0.001331018519</v>
      </c>
      <c r="I19" s="8">
        <f>ROUND(I27*$C$35+I28, 2)</f>
        <v>14.1</v>
      </c>
      <c r="J19" s="9">
        <f>J27*4+J28</f>
        <v>0.02199074074</v>
      </c>
      <c r="K19" s="8"/>
    </row>
    <row r="20">
      <c r="B20" s="7" t="s">
        <v>15</v>
      </c>
      <c r="C20" s="8">
        <v>30.0</v>
      </c>
      <c r="D20" s="8">
        <v>75.0</v>
      </c>
      <c r="E20" s="8">
        <v>27.0</v>
      </c>
      <c r="F20" s="8">
        <v>20.0</v>
      </c>
      <c r="G20" s="9">
        <v>0.003472222222222222</v>
      </c>
      <c r="H20" s="9">
        <v>0.001388888888888889</v>
      </c>
      <c r="I20" s="8">
        <v>13.9</v>
      </c>
      <c r="J20" s="9">
        <v>0.017361111111111112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0.8333333333</v>
      </c>
      <c r="D27" s="8">
        <f t="shared" si="6"/>
        <v>4.166666667</v>
      </c>
      <c r="E27" s="8">
        <f t="shared" si="6"/>
        <v>1.333333333</v>
      </c>
      <c r="F27" s="8">
        <f t="shared" si="6"/>
        <v>0.8333333333</v>
      </c>
      <c r="G27" s="9">
        <f t="shared" si="6"/>
        <v>0.000111882716</v>
      </c>
      <c r="H27" s="9">
        <f t="shared" si="6"/>
        <v>0.00002893518519</v>
      </c>
      <c r="I27" s="8">
        <f t="shared" si="6"/>
        <v>-0.09833333333</v>
      </c>
      <c r="J27" s="9">
        <f t="shared" si="6"/>
        <v>-0.002314814815</v>
      </c>
      <c r="K27" s="8">
        <f t="shared" si="6"/>
        <v>0</v>
      </c>
    </row>
    <row r="28">
      <c r="B28" s="7" t="s">
        <v>19</v>
      </c>
      <c r="C28" s="11">
        <f t="shared" ref="C28:K28" si="7">C17</f>
        <v>25</v>
      </c>
      <c r="D28" s="11">
        <f t="shared" si="7"/>
        <v>50</v>
      </c>
      <c r="E28" s="11">
        <f t="shared" si="7"/>
        <v>19</v>
      </c>
      <c r="F28" s="11">
        <f t="shared" si="7"/>
        <v>15</v>
      </c>
      <c r="G28" s="14">
        <f t="shared" si="7"/>
        <v>0.002800925926</v>
      </c>
      <c r="H28" s="14">
        <f t="shared" si="7"/>
        <v>0.001215277778</v>
      </c>
      <c r="I28" s="11">
        <f t="shared" si="7"/>
        <v>14.49</v>
      </c>
      <c r="J28" s="14">
        <f t="shared" si="7"/>
        <v>0.03125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B32" s="12"/>
      <c r="C32" s="7" t="s">
        <v>20</v>
      </c>
      <c r="D32" s="12"/>
      <c r="E32" s="15" t="s">
        <v>21</v>
      </c>
      <c r="F32" s="16" t="s">
        <v>25</v>
      </c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1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1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12"/>
      <c r="K36" s="12"/>
    </row>
  </sheetData>
  <mergeCells count="5">
    <mergeCell ref="B4:K5"/>
    <mergeCell ref="B14:K15"/>
    <mergeCell ref="B24:K25"/>
    <mergeCell ref="E32:E33"/>
    <mergeCell ref="F32:K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>
      <c r="B7" s="7" t="s">
        <v>11</v>
      </c>
      <c r="C7" s="8">
        <v>12.0</v>
      </c>
      <c r="D7" s="8">
        <v>20.0</v>
      </c>
      <c r="E7" s="8">
        <v>3.0</v>
      </c>
      <c r="F7" s="8">
        <v>4.0</v>
      </c>
      <c r="G7" s="9">
        <v>0.0021875</v>
      </c>
      <c r="H7" s="9">
        <v>7.523148148148148E-4</v>
      </c>
      <c r="I7" s="8">
        <v>13.47</v>
      </c>
      <c r="J7" s="9">
        <v>0.018865740740740742</v>
      </c>
      <c r="K7" s="11"/>
    </row>
    <row r="8">
      <c r="B8" s="7" t="s">
        <v>12</v>
      </c>
      <c r="C8" s="8">
        <v>16.0</v>
      </c>
      <c r="D8" s="8">
        <v>22.0</v>
      </c>
      <c r="E8" s="8">
        <v>4.0</v>
      </c>
      <c r="F8" s="8">
        <v>5.0</v>
      </c>
      <c r="G8" s="10">
        <v>0.002777777777777778</v>
      </c>
      <c r="H8" s="10">
        <v>8.217592592592593E-4</v>
      </c>
      <c r="I8" s="8">
        <v>12.88</v>
      </c>
      <c r="J8" s="10">
        <v>0.015277777777777777</v>
      </c>
      <c r="K8" s="11"/>
    </row>
    <row r="9">
      <c r="B9" s="7" t="s">
        <v>14</v>
      </c>
      <c r="C9" s="8">
        <v>14.0</v>
      </c>
      <c r="D9" s="8">
        <v>23.0</v>
      </c>
      <c r="E9" s="8">
        <v>2.0</v>
      </c>
      <c r="F9" s="8">
        <v>4.0</v>
      </c>
      <c r="G9" s="10">
        <v>0.0028935185185185184</v>
      </c>
      <c r="H9" s="10">
        <v>0.0010416666666666667</v>
      </c>
      <c r="I9" s="8">
        <v>13.17</v>
      </c>
      <c r="J9" s="11"/>
      <c r="K9" s="11"/>
    </row>
    <row r="10">
      <c r="B10" s="7" t="s">
        <v>15</v>
      </c>
      <c r="C10" s="8">
        <v>19.0</v>
      </c>
      <c r="D10" s="8">
        <v>30.0</v>
      </c>
      <c r="E10" s="8">
        <v>5.0</v>
      </c>
      <c r="F10" s="8">
        <v>6.0</v>
      </c>
      <c r="G10" s="10">
        <v>0.002962962962962963</v>
      </c>
      <c r="H10" s="10">
        <v>0.001099537037037037</v>
      </c>
      <c r="I10" s="11"/>
      <c r="J10" s="1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</row>
    <row r="17">
      <c r="B17" s="7" t="s">
        <v>11</v>
      </c>
      <c r="C17" s="8">
        <f t="shared" ref="C17:J17" si="1">C7</f>
        <v>12</v>
      </c>
      <c r="D17" s="8">
        <f t="shared" si="1"/>
        <v>20</v>
      </c>
      <c r="E17" s="8">
        <f t="shared" si="1"/>
        <v>3</v>
      </c>
      <c r="F17" s="8">
        <f t="shared" si="1"/>
        <v>4</v>
      </c>
      <c r="G17" s="9">
        <f t="shared" si="1"/>
        <v>0.0021875</v>
      </c>
      <c r="H17" s="9">
        <f t="shared" si="1"/>
        <v>0.0007523148148</v>
      </c>
      <c r="I17" s="8">
        <f t="shared" si="1"/>
        <v>13.47</v>
      </c>
      <c r="J17" s="9">
        <f t="shared" si="1"/>
        <v>0.01886574074</v>
      </c>
      <c r="K17" s="11"/>
    </row>
    <row r="18">
      <c r="B18" s="7" t="s">
        <v>12</v>
      </c>
      <c r="C18" s="8">
        <f t="shared" ref="C18:F18" si="2">ROUND(C27*$C$34+C28,0)</f>
        <v>16</v>
      </c>
      <c r="D18" s="8">
        <f t="shared" si="2"/>
        <v>27</v>
      </c>
      <c r="E18" s="8">
        <f t="shared" si="2"/>
        <v>5</v>
      </c>
      <c r="F18" s="8">
        <f t="shared" si="2"/>
        <v>6</v>
      </c>
      <c r="G18" s="9">
        <f t="shared" ref="G18:H18" si="3">G27*$C$34+G28</f>
        <v>0.002384259259</v>
      </c>
      <c r="H18" s="9">
        <f t="shared" si="3"/>
        <v>0.0008487654321</v>
      </c>
      <c r="I18" s="8">
        <f>ROUND(I27*$C$34+I28, 2)</f>
        <v>13.31</v>
      </c>
      <c r="J18" s="9">
        <f>J27*$C$34+J28</f>
        <v>0.01778549383</v>
      </c>
      <c r="K18" s="8"/>
    </row>
    <row r="19">
      <c r="B19" s="7" t="s">
        <v>14</v>
      </c>
      <c r="C19" s="8">
        <f t="shared" ref="C19:F19" si="4">ROUND(C27*$C$35+C28,0)</f>
        <v>21</v>
      </c>
      <c r="D19" s="8">
        <f t="shared" si="4"/>
        <v>33</v>
      </c>
      <c r="E19" s="8">
        <f t="shared" si="4"/>
        <v>8</v>
      </c>
      <c r="F19" s="8">
        <f t="shared" si="4"/>
        <v>8</v>
      </c>
      <c r="G19" s="9">
        <f t="shared" ref="G19:H19" si="5">G27*4+G28</f>
        <v>0.002581018519</v>
      </c>
      <c r="H19" s="9">
        <f t="shared" si="5"/>
        <v>0.0009452160494</v>
      </c>
      <c r="I19" s="8">
        <f>ROUND(I27*$C$35+I28, 2)</f>
        <v>13.16</v>
      </c>
      <c r="J19" s="9">
        <f>J27*4+J28</f>
        <v>0.01670524691</v>
      </c>
      <c r="K19" s="8"/>
    </row>
    <row r="20">
      <c r="B20" s="7" t="s">
        <v>15</v>
      </c>
      <c r="C20" s="8">
        <v>25.0</v>
      </c>
      <c r="D20" s="8">
        <v>40.0</v>
      </c>
      <c r="E20" s="8">
        <v>10.0</v>
      </c>
      <c r="F20" s="8">
        <v>10.0</v>
      </c>
      <c r="G20" s="9">
        <v>0.002777777777777778</v>
      </c>
      <c r="H20" s="9">
        <v>0.0010416666666666667</v>
      </c>
      <c r="I20" s="8">
        <v>13.0</v>
      </c>
      <c r="J20" s="9">
        <v>0.015625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2.166666667</v>
      </c>
      <c r="D27" s="8">
        <f t="shared" si="6"/>
        <v>3.333333333</v>
      </c>
      <c r="E27" s="8">
        <f t="shared" si="6"/>
        <v>1.166666667</v>
      </c>
      <c r="F27" s="8">
        <f t="shared" si="6"/>
        <v>1</v>
      </c>
      <c r="G27" s="9">
        <f t="shared" si="6"/>
        <v>0.00009837962963</v>
      </c>
      <c r="H27" s="9">
        <f t="shared" si="6"/>
        <v>0.00004822530864</v>
      </c>
      <c r="I27" s="8">
        <f t="shared" si="6"/>
        <v>-0.07833333333</v>
      </c>
      <c r="J27" s="9">
        <f t="shared" si="6"/>
        <v>-0.0005401234568</v>
      </c>
      <c r="K27" s="8">
        <f t="shared" si="6"/>
        <v>0</v>
      </c>
    </row>
    <row r="28">
      <c r="B28" s="7" t="s">
        <v>19</v>
      </c>
      <c r="C28" s="11">
        <f t="shared" ref="C28:K28" si="7">C17</f>
        <v>12</v>
      </c>
      <c r="D28" s="11">
        <f t="shared" si="7"/>
        <v>20</v>
      </c>
      <c r="E28" s="11">
        <f t="shared" si="7"/>
        <v>3</v>
      </c>
      <c r="F28" s="11">
        <f t="shared" si="7"/>
        <v>4</v>
      </c>
      <c r="G28" s="14">
        <f t="shared" si="7"/>
        <v>0.0021875</v>
      </c>
      <c r="H28" s="14">
        <f t="shared" si="7"/>
        <v>0.0007523148148</v>
      </c>
      <c r="I28" s="11">
        <f t="shared" si="7"/>
        <v>13.47</v>
      </c>
      <c r="J28" s="14">
        <f t="shared" si="7"/>
        <v>0.01886574074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B32" s="12"/>
      <c r="C32" s="7" t="s">
        <v>20</v>
      </c>
      <c r="D32" s="12"/>
      <c r="E32" s="15" t="s">
        <v>21</v>
      </c>
      <c r="F32" s="16" t="s">
        <v>24</v>
      </c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1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1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12"/>
      <c r="K36" s="12"/>
    </row>
  </sheetData>
  <mergeCells count="5">
    <mergeCell ref="B4:K5"/>
    <mergeCell ref="B14:K15"/>
    <mergeCell ref="B24:K25"/>
    <mergeCell ref="E32:E33"/>
    <mergeCell ref="F32:K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>
      <c r="B7" s="7" t="s">
        <v>11</v>
      </c>
      <c r="C7" s="8">
        <v>23.0</v>
      </c>
      <c r="D7" s="8">
        <v>23.0</v>
      </c>
      <c r="E7" s="8">
        <v>7.0</v>
      </c>
      <c r="F7" s="8">
        <v>8.0</v>
      </c>
      <c r="G7" s="9">
        <v>0.0010416666666666667</v>
      </c>
      <c r="H7" s="9">
        <v>6.944444444444445E-4</v>
      </c>
      <c r="I7" s="8">
        <v>14.9</v>
      </c>
      <c r="J7" s="9">
        <v>0.02048611111111111</v>
      </c>
      <c r="K7" s="8">
        <v>87.0</v>
      </c>
    </row>
    <row r="8">
      <c r="B8" s="7" t="s">
        <v>12</v>
      </c>
      <c r="C8" s="8">
        <v>23.0</v>
      </c>
      <c r="D8" s="8">
        <v>25.0</v>
      </c>
      <c r="E8" s="8">
        <v>10.0</v>
      </c>
      <c r="F8" s="8">
        <v>10.0</v>
      </c>
      <c r="G8" s="10">
        <v>0.0013310185185185185</v>
      </c>
      <c r="H8" s="10">
        <v>9.143518518518518E-4</v>
      </c>
      <c r="I8" s="8">
        <v>15.3</v>
      </c>
      <c r="J8" s="10">
        <v>0.02013888888888889</v>
      </c>
      <c r="K8" s="8">
        <v>90.0</v>
      </c>
    </row>
    <row r="9">
      <c r="B9" s="7" t="s">
        <v>14</v>
      </c>
      <c r="C9" s="8">
        <v>23.0</v>
      </c>
      <c r="D9" s="8">
        <v>25.0</v>
      </c>
      <c r="E9" s="8" t="s">
        <v>26</v>
      </c>
      <c r="F9" s="8">
        <v>11.0</v>
      </c>
      <c r="G9" s="10">
        <v>0.0010416666666666667</v>
      </c>
      <c r="H9" s="10">
        <v>0.0010416666666666667</v>
      </c>
      <c r="I9" s="8">
        <v>14.8</v>
      </c>
      <c r="J9" s="11"/>
      <c r="K9" s="11"/>
    </row>
    <row r="10">
      <c r="B10" s="7" t="s">
        <v>15</v>
      </c>
      <c r="C10" s="8">
        <v>27.0</v>
      </c>
      <c r="D10" s="8">
        <v>30.0</v>
      </c>
      <c r="E10" s="8">
        <v>13.0</v>
      </c>
      <c r="F10" s="8">
        <v>12.0</v>
      </c>
      <c r="G10" s="10">
        <v>0.0012152777777777778</v>
      </c>
      <c r="H10" s="10">
        <v>9.25925925925926E-4</v>
      </c>
      <c r="I10" s="11"/>
      <c r="J10" s="1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</row>
    <row r="17">
      <c r="B17" s="7" t="s">
        <v>11</v>
      </c>
      <c r="C17" s="8">
        <f t="shared" ref="C17:J17" si="1">C7</f>
        <v>23</v>
      </c>
      <c r="D17" s="8">
        <f t="shared" si="1"/>
        <v>23</v>
      </c>
      <c r="E17" s="8">
        <f t="shared" si="1"/>
        <v>7</v>
      </c>
      <c r="F17" s="8">
        <f t="shared" si="1"/>
        <v>8</v>
      </c>
      <c r="G17" s="9">
        <f t="shared" si="1"/>
        <v>0.001041666667</v>
      </c>
      <c r="H17" s="9">
        <f t="shared" si="1"/>
        <v>0.0006944444444</v>
      </c>
      <c r="I17" s="8">
        <f t="shared" si="1"/>
        <v>14.9</v>
      </c>
      <c r="J17" s="9">
        <f t="shared" si="1"/>
        <v>0.02048611111</v>
      </c>
      <c r="K17" s="11"/>
    </row>
    <row r="18">
      <c r="B18" s="7" t="s">
        <v>12</v>
      </c>
      <c r="C18" s="8">
        <f t="shared" ref="C18:F18" si="2">ROUND(C27*$C$34+C28,0)</f>
        <v>25</v>
      </c>
      <c r="D18" s="8">
        <f t="shared" si="2"/>
        <v>27</v>
      </c>
      <c r="E18" s="8">
        <f t="shared" si="2"/>
        <v>9</v>
      </c>
      <c r="F18" s="8">
        <f t="shared" si="2"/>
        <v>10</v>
      </c>
      <c r="G18" s="9">
        <f t="shared" ref="G18:H18" si="3">G27*$C$34+G28</f>
        <v>0.001273148148</v>
      </c>
      <c r="H18" s="9">
        <f t="shared" si="3"/>
        <v>0.0008101851852</v>
      </c>
      <c r="I18" s="8">
        <f>ROUND(I27*$C$34+I28, 2)</f>
        <v>14.57</v>
      </c>
      <c r="J18" s="10">
        <f>J27*$C$34+J28</f>
        <v>0.01979166667</v>
      </c>
      <c r="K18" s="8"/>
    </row>
    <row r="19">
      <c r="B19" s="7" t="s">
        <v>14</v>
      </c>
      <c r="C19" s="8">
        <f t="shared" ref="C19:F19" si="4">ROUND(C27*$C$35+C28,0)</f>
        <v>28</v>
      </c>
      <c r="D19" s="8">
        <f t="shared" si="4"/>
        <v>31</v>
      </c>
      <c r="E19" s="8">
        <f t="shared" si="4"/>
        <v>10</v>
      </c>
      <c r="F19" s="8">
        <f t="shared" si="4"/>
        <v>13</v>
      </c>
      <c r="G19" s="9">
        <f t="shared" ref="G19:H19" si="5">G27*4+G28</f>
        <v>0.00150462963</v>
      </c>
      <c r="H19" s="9">
        <f t="shared" si="5"/>
        <v>0.0009259259259</v>
      </c>
      <c r="I19" s="8">
        <f>ROUND(I27*$C$35+I28, 2)</f>
        <v>14.23</v>
      </c>
      <c r="J19" s="10">
        <f>J27*4+J28</f>
        <v>0.01909722222</v>
      </c>
      <c r="K19" s="8"/>
    </row>
    <row r="20">
      <c r="B20" s="7" t="s">
        <v>15</v>
      </c>
      <c r="C20" s="8">
        <v>30.0</v>
      </c>
      <c r="D20" s="8">
        <v>35.0</v>
      </c>
      <c r="E20" s="8">
        <v>12.0</v>
      </c>
      <c r="F20" s="8">
        <v>15.0</v>
      </c>
      <c r="G20" s="9">
        <v>0.001736111111111111</v>
      </c>
      <c r="H20" s="9">
        <v>0.0010416666666666667</v>
      </c>
      <c r="I20" s="8">
        <v>13.9</v>
      </c>
      <c r="J20" s="10">
        <v>0.01840277777777778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1.166666667</v>
      </c>
      <c r="D27" s="8">
        <f t="shared" si="6"/>
        <v>2</v>
      </c>
      <c r="E27" s="8">
        <f t="shared" si="6"/>
        <v>0.8333333333</v>
      </c>
      <c r="F27" s="8">
        <f t="shared" si="6"/>
        <v>1.166666667</v>
      </c>
      <c r="G27" s="9">
        <f t="shared" si="6"/>
        <v>0.0001157407407</v>
      </c>
      <c r="H27" s="9">
        <f t="shared" si="6"/>
        <v>0.00005787037037</v>
      </c>
      <c r="I27" s="8">
        <f t="shared" si="6"/>
        <v>-0.1666666667</v>
      </c>
      <c r="J27" s="10">
        <f t="shared" si="6"/>
        <v>-0.0003472222222</v>
      </c>
      <c r="K27" s="8">
        <f t="shared" si="6"/>
        <v>0</v>
      </c>
    </row>
    <row r="28">
      <c r="B28" s="7" t="s">
        <v>19</v>
      </c>
      <c r="C28" s="11">
        <f t="shared" ref="C28:K28" si="7">C17</f>
        <v>23</v>
      </c>
      <c r="D28" s="11">
        <f t="shared" si="7"/>
        <v>23</v>
      </c>
      <c r="E28" s="11">
        <f t="shared" si="7"/>
        <v>7</v>
      </c>
      <c r="F28" s="11">
        <f t="shared" si="7"/>
        <v>8</v>
      </c>
      <c r="G28" s="14">
        <f t="shared" si="7"/>
        <v>0.001041666667</v>
      </c>
      <c r="H28" s="14">
        <f t="shared" si="7"/>
        <v>0.0006944444444</v>
      </c>
      <c r="I28" s="11">
        <f t="shared" si="7"/>
        <v>14.9</v>
      </c>
      <c r="J28" s="14">
        <f t="shared" si="7"/>
        <v>0.02048611111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B32" s="12"/>
      <c r="C32" s="7" t="s">
        <v>20</v>
      </c>
      <c r="D32" s="12"/>
      <c r="E32" s="15" t="s">
        <v>21</v>
      </c>
      <c r="F32" s="16" t="s">
        <v>27</v>
      </c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1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1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12"/>
      <c r="K36" s="12"/>
    </row>
  </sheetData>
  <mergeCells count="5">
    <mergeCell ref="B4:K5"/>
    <mergeCell ref="B14:K15"/>
    <mergeCell ref="B24:K25"/>
    <mergeCell ref="E32:E33"/>
    <mergeCell ref="F32:K3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3" width="13.38"/>
    <col customWidth="1" min="4" max="4" width="14.13"/>
    <col customWidth="1" min="5" max="5" width="18.75"/>
    <col customWidth="1" min="6" max="6" width="19.38"/>
    <col customWidth="1" min="7" max="7" width="15.0"/>
    <col customWidth="1" min="8" max="8" width="17.25"/>
    <col customWidth="1" min="9" max="9" width="14.38"/>
    <col customWidth="1" min="10" max="10" width="14.63"/>
    <col customWidth="1" min="11" max="11" width="14.25"/>
  </cols>
  <sheetData>
    <row r="4">
      <c r="B4" s="1" t="s">
        <v>0</v>
      </c>
      <c r="C4" s="2"/>
      <c r="D4" s="2"/>
      <c r="E4" s="2"/>
      <c r="F4" s="2"/>
      <c r="G4" s="2"/>
      <c r="H4" s="2"/>
      <c r="I4" s="2"/>
      <c r="J4" s="2"/>
      <c r="K4" s="3"/>
    </row>
    <row r="5">
      <c r="B5" s="4"/>
      <c r="C5" s="5"/>
      <c r="D5" s="5"/>
      <c r="E5" s="5"/>
      <c r="F5" s="5"/>
      <c r="G5" s="5"/>
      <c r="H5" s="5"/>
      <c r="I5" s="5"/>
      <c r="J5" s="5"/>
      <c r="K5" s="6"/>
    </row>
    <row r="6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>
      <c r="B7" s="7" t="s">
        <v>11</v>
      </c>
      <c r="C7" s="8">
        <v>15.0</v>
      </c>
      <c r="D7" s="8">
        <v>16.0</v>
      </c>
      <c r="E7" s="8">
        <v>6.0</v>
      </c>
      <c r="F7" s="8">
        <v>8.0</v>
      </c>
      <c r="G7" s="9">
        <v>0.002777777777777778</v>
      </c>
      <c r="H7" s="9">
        <v>0.0010416666666666667</v>
      </c>
      <c r="I7" s="8">
        <v>14.14</v>
      </c>
      <c r="J7" s="9">
        <v>0.03125</v>
      </c>
      <c r="K7" s="11"/>
    </row>
    <row r="8">
      <c r="B8" s="7" t="s">
        <v>12</v>
      </c>
      <c r="C8" s="8"/>
      <c r="D8" s="11"/>
      <c r="E8" s="11"/>
      <c r="F8" s="11"/>
      <c r="G8" s="8"/>
      <c r="H8" s="8"/>
      <c r="I8" s="8"/>
      <c r="J8" s="8"/>
      <c r="K8" s="11"/>
    </row>
    <row r="9">
      <c r="B9" s="7" t="s">
        <v>14</v>
      </c>
      <c r="C9" s="11"/>
      <c r="D9" s="11"/>
      <c r="E9" s="11"/>
      <c r="F9" s="11"/>
      <c r="G9" s="11"/>
      <c r="H9" s="11"/>
      <c r="I9" s="11"/>
      <c r="J9" s="11"/>
      <c r="K9" s="11"/>
    </row>
    <row r="10">
      <c r="B10" s="7" t="s">
        <v>15</v>
      </c>
      <c r="C10" s="11"/>
      <c r="D10" s="11"/>
      <c r="E10" s="11"/>
      <c r="F10" s="11"/>
      <c r="G10" s="11"/>
      <c r="H10" s="11"/>
      <c r="I10" s="11"/>
      <c r="J10" s="11"/>
      <c r="K10" s="11"/>
    </row>
    <row r="1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>
      <c r="B14" s="1" t="s">
        <v>16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4"/>
      <c r="C15" s="5"/>
      <c r="D15" s="5"/>
      <c r="E15" s="5"/>
      <c r="F15" s="5"/>
      <c r="G15" s="5"/>
      <c r="H15" s="5"/>
      <c r="I15" s="5"/>
      <c r="J15" s="5"/>
      <c r="K15" s="6"/>
    </row>
    <row r="16"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</row>
    <row r="17">
      <c r="B17" s="7" t="s">
        <v>11</v>
      </c>
      <c r="C17" s="8">
        <f t="shared" ref="C17:J17" si="1">C7</f>
        <v>15</v>
      </c>
      <c r="D17" s="8">
        <f t="shared" si="1"/>
        <v>16</v>
      </c>
      <c r="E17" s="8">
        <f t="shared" si="1"/>
        <v>6</v>
      </c>
      <c r="F17" s="8">
        <f t="shared" si="1"/>
        <v>8</v>
      </c>
      <c r="G17" s="9">
        <f t="shared" si="1"/>
        <v>0.002777777778</v>
      </c>
      <c r="H17" s="9">
        <f t="shared" si="1"/>
        <v>0.001041666667</v>
      </c>
      <c r="I17" s="8">
        <f t="shared" si="1"/>
        <v>14.14</v>
      </c>
      <c r="J17" s="9">
        <f t="shared" si="1"/>
        <v>0.03125</v>
      </c>
      <c r="K17" s="11"/>
    </row>
    <row r="18">
      <c r="B18" s="7" t="s">
        <v>12</v>
      </c>
      <c r="C18" s="8">
        <f t="shared" ref="C18:F18" si="2">ROUND(C27*$C$34+C28,0)</f>
        <v>20</v>
      </c>
      <c r="D18" s="8">
        <f t="shared" si="2"/>
        <v>24</v>
      </c>
      <c r="E18" s="8">
        <f t="shared" si="2"/>
        <v>8</v>
      </c>
      <c r="F18" s="8">
        <f t="shared" si="2"/>
        <v>10</v>
      </c>
      <c r="G18" s="9">
        <f t="shared" ref="G18:H18" si="3">G27*$C$34+G28</f>
        <v>0.002893518519</v>
      </c>
      <c r="H18" s="9">
        <f t="shared" si="3"/>
        <v>0.001099537037</v>
      </c>
      <c r="I18" s="8">
        <f>ROUND(I27*$C$34+I28, 2)</f>
        <v>14.09</v>
      </c>
      <c r="J18" s="9">
        <f>J27*$C$34+J28</f>
        <v>0.02685185185</v>
      </c>
      <c r="K18" s="8"/>
    </row>
    <row r="19">
      <c r="B19" s="7" t="s">
        <v>14</v>
      </c>
      <c r="C19" s="8">
        <f t="shared" ref="C19:F19" si="4">ROUND(C27*$C$35+C28,0)</f>
        <v>25</v>
      </c>
      <c r="D19" s="8">
        <f t="shared" si="4"/>
        <v>32</v>
      </c>
      <c r="E19" s="8">
        <f t="shared" si="4"/>
        <v>10</v>
      </c>
      <c r="F19" s="8">
        <f t="shared" si="4"/>
        <v>13</v>
      </c>
      <c r="G19" s="9">
        <f t="shared" ref="G19:H19" si="5">G27*4+G28</f>
        <v>0.003009259259</v>
      </c>
      <c r="H19" s="9">
        <f t="shared" si="5"/>
        <v>0.001157407407</v>
      </c>
      <c r="I19" s="8">
        <f>ROUND(I27*$C$35+I28, 2)</f>
        <v>14.05</v>
      </c>
      <c r="J19" s="9">
        <f>J27*4+J28</f>
        <v>0.0224537037</v>
      </c>
      <c r="K19" s="8"/>
    </row>
    <row r="20">
      <c r="B20" s="7" t="s">
        <v>15</v>
      </c>
      <c r="C20" s="8">
        <v>30.0</v>
      </c>
      <c r="D20" s="8">
        <v>40.0</v>
      </c>
      <c r="E20" s="8">
        <v>12.0</v>
      </c>
      <c r="F20" s="8">
        <v>15.0</v>
      </c>
      <c r="G20" s="9">
        <v>0.003125</v>
      </c>
      <c r="H20" s="9">
        <v>0.0012152777777777778</v>
      </c>
      <c r="I20" s="8">
        <v>14.0</v>
      </c>
      <c r="J20" s="9">
        <v>0.018055555555555554</v>
      </c>
      <c r="K20" s="11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B24" s="1" t="s">
        <v>17</v>
      </c>
      <c r="C24" s="2"/>
      <c r="D24" s="2"/>
      <c r="E24" s="2"/>
      <c r="F24" s="2"/>
      <c r="G24" s="2"/>
      <c r="H24" s="2"/>
      <c r="I24" s="2"/>
      <c r="J24" s="2"/>
      <c r="K24" s="3"/>
    </row>
    <row r="25">
      <c r="B25" s="4"/>
      <c r="C25" s="5"/>
      <c r="D25" s="5"/>
      <c r="E25" s="5"/>
      <c r="F25" s="5"/>
      <c r="G25" s="5"/>
      <c r="H25" s="5"/>
      <c r="I25" s="5"/>
      <c r="J25" s="5"/>
      <c r="K25" s="6"/>
    </row>
    <row r="26">
      <c r="B26" s="13"/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</row>
    <row r="27">
      <c r="B27" s="7" t="s">
        <v>18</v>
      </c>
      <c r="C27" s="8">
        <f t="shared" ref="C27:K27" si="6">(C20-C28)/$C$36</f>
        <v>2.5</v>
      </c>
      <c r="D27" s="8">
        <f t="shared" si="6"/>
        <v>4</v>
      </c>
      <c r="E27" s="8">
        <f t="shared" si="6"/>
        <v>1</v>
      </c>
      <c r="F27" s="8">
        <f t="shared" si="6"/>
        <v>1.166666667</v>
      </c>
      <c r="G27" s="9">
        <f t="shared" si="6"/>
        <v>0.00005787037037</v>
      </c>
      <c r="H27" s="9">
        <f t="shared" si="6"/>
        <v>0.00002893518519</v>
      </c>
      <c r="I27" s="8">
        <f t="shared" si="6"/>
        <v>-0.02333333333</v>
      </c>
      <c r="J27" s="9">
        <f t="shared" si="6"/>
        <v>-0.002199074074</v>
      </c>
      <c r="K27" s="8">
        <f t="shared" si="6"/>
        <v>0</v>
      </c>
    </row>
    <row r="28">
      <c r="B28" s="7" t="s">
        <v>19</v>
      </c>
      <c r="C28" s="11">
        <f t="shared" ref="C28:K28" si="7">C17</f>
        <v>15</v>
      </c>
      <c r="D28" s="11">
        <f t="shared" si="7"/>
        <v>16</v>
      </c>
      <c r="E28" s="11">
        <f t="shared" si="7"/>
        <v>6</v>
      </c>
      <c r="F28" s="11">
        <f t="shared" si="7"/>
        <v>8</v>
      </c>
      <c r="G28" s="14">
        <f t="shared" si="7"/>
        <v>0.002777777778</v>
      </c>
      <c r="H28" s="14">
        <f t="shared" si="7"/>
        <v>0.001041666667</v>
      </c>
      <c r="I28" s="11">
        <f t="shared" si="7"/>
        <v>14.14</v>
      </c>
      <c r="J28" s="14">
        <f t="shared" si="7"/>
        <v>0.03125</v>
      </c>
      <c r="K28" s="11" t="str">
        <f t="shared" si="7"/>
        <v/>
      </c>
    </row>
    <row r="29"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B32" s="12"/>
      <c r="C32" s="7" t="s">
        <v>20</v>
      </c>
      <c r="D32" s="12"/>
      <c r="E32" s="15" t="s">
        <v>21</v>
      </c>
      <c r="F32" s="16"/>
      <c r="G32" s="2"/>
      <c r="H32" s="2"/>
      <c r="I32" s="2"/>
      <c r="J32" s="2"/>
      <c r="K32" s="3"/>
    </row>
    <row r="33">
      <c r="B33" s="7" t="s">
        <v>11</v>
      </c>
      <c r="C33" s="8">
        <v>0.0</v>
      </c>
      <c r="D33" s="12"/>
      <c r="E33" s="17"/>
      <c r="F33" s="4"/>
      <c r="G33" s="5"/>
      <c r="H33" s="5"/>
      <c r="I33" s="5"/>
      <c r="J33" s="5"/>
      <c r="K33" s="6"/>
    </row>
    <row r="34">
      <c r="B34" s="7" t="s">
        <v>12</v>
      </c>
      <c r="C34" s="8">
        <v>2.0</v>
      </c>
      <c r="D34" s="12"/>
      <c r="G34" s="12"/>
      <c r="H34" s="12"/>
      <c r="I34" s="12"/>
      <c r="J34" s="12"/>
      <c r="K34" s="12"/>
    </row>
    <row r="35">
      <c r="B35" s="7" t="s">
        <v>14</v>
      </c>
      <c r="C35" s="8">
        <v>4.0</v>
      </c>
      <c r="D35" s="12"/>
      <c r="G35" s="12"/>
      <c r="H35" s="12"/>
      <c r="I35" s="12"/>
      <c r="J35" s="12"/>
      <c r="K35" s="12"/>
    </row>
    <row r="36">
      <c r="B36" s="7" t="s">
        <v>15</v>
      </c>
      <c r="C36" s="8">
        <v>6.0</v>
      </c>
      <c r="D36" s="12"/>
      <c r="E36" s="12"/>
      <c r="F36" s="12"/>
      <c r="G36" s="12"/>
      <c r="H36" s="12"/>
      <c r="I36" s="12"/>
      <c r="J36" s="12"/>
      <c r="K36" s="12"/>
    </row>
  </sheetData>
  <mergeCells count="5">
    <mergeCell ref="B4:K5"/>
    <mergeCell ref="B14:K15"/>
    <mergeCell ref="B24:K25"/>
    <mergeCell ref="E32:E33"/>
    <mergeCell ref="F32:K33"/>
  </mergeCells>
  <drawing r:id="rId1"/>
</worksheet>
</file>